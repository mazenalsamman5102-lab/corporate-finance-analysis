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مشروع التمويل النهائي\44455\"/>
    </mc:Choice>
  </mc:AlternateContent>
  <xr:revisionPtr revIDLastSave="0" documentId="8_{56E9537C-C807-5544-9583-2C4176D31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8" r:id="rId1"/>
    <sheet name="خردة التعادل" sheetId="10" r:id="rId2"/>
    <sheet name="Scenario Summary" sheetId="13" r:id="rId3"/>
    <sheet name="E(NPV)" sheetId="12" r:id="rId4"/>
    <sheet name="تقويم المنشأة(بن داود القابضة)" sheetId="14" r:id="rId5"/>
    <sheet name="تقويم المنشأة(أنعام القابضة)" sheetId="15" r:id="rId6"/>
    <sheet name="رأس المال العامل(بن داود)" sheetId="16" r:id="rId7"/>
    <sheet name="رأس المال العامل(انعام القابضة)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4" i="17"/>
  <c r="B14" i="17"/>
  <c r="C13" i="17"/>
  <c r="B13" i="17"/>
  <c r="C12" i="17"/>
  <c r="B12" i="17"/>
  <c r="C11" i="17"/>
  <c r="B11" i="17"/>
  <c r="C9" i="17"/>
  <c r="B9" i="17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4" i="16"/>
  <c r="B14" i="16"/>
  <c r="C13" i="16"/>
  <c r="B13" i="16"/>
  <c r="C12" i="16"/>
  <c r="B12" i="16"/>
  <c r="C11" i="16"/>
  <c r="B11" i="16"/>
  <c r="C9" i="16"/>
  <c r="B9" i="16"/>
  <c r="C23" i="15"/>
  <c r="C25" i="15"/>
  <c r="C26" i="15"/>
  <c r="C27" i="15"/>
  <c r="C28" i="15"/>
  <c r="D22" i="15"/>
  <c r="C22" i="15"/>
  <c r="D21" i="15"/>
  <c r="C21" i="15"/>
  <c r="D20" i="15"/>
  <c r="C20" i="15"/>
  <c r="D19" i="15"/>
  <c r="C19" i="15"/>
  <c r="D18" i="15"/>
  <c r="D23" i="15"/>
  <c r="D25" i="15"/>
  <c r="D26" i="15"/>
  <c r="D27" i="15"/>
  <c r="D2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G11" i="15"/>
  <c r="D11" i="15"/>
  <c r="C11" i="15"/>
  <c r="D10" i="15"/>
  <c r="C10" i="15"/>
  <c r="D9" i="15"/>
  <c r="C9" i="15"/>
  <c r="G8" i="15"/>
  <c r="G7" i="15"/>
  <c r="D7" i="15"/>
  <c r="C7" i="15"/>
  <c r="D6" i="15"/>
  <c r="C6" i="15"/>
  <c r="G5" i="15"/>
  <c r="D5" i="15"/>
  <c r="C5" i="15"/>
  <c r="D4" i="15"/>
  <c r="C4" i="15"/>
  <c r="G3" i="15"/>
  <c r="D3" i="15"/>
  <c r="C3" i="15"/>
  <c r="D30" i="14"/>
  <c r="C30" i="14"/>
  <c r="D29" i="14"/>
  <c r="C29" i="14"/>
  <c r="D28" i="14"/>
  <c r="C28" i="14"/>
  <c r="D27" i="14"/>
  <c r="C27" i="14"/>
  <c r="D26" i="14"/>
  <c r="C26" i="14"/>
  <c r="D25" i="14"/>
  <c r="C25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D13" i="14"/>
  <c r="D12" i="14"/>
  <c r="C12" i="14"/>
  <c r="G11" i="14"/>
  <c r="D11" i="14"/>
  <c r="C11" i="14"/>
  <c r="D10" i="14"/>
  <c r="C10" i="14"/>
  <c r="D9" i="14"/>
  <c r="C9" i="14"/>
  <c r="G8" i="14"/>
  <c r="D8" i="14"/>
  <c r="C8" i="14"/>
  <c r="G7" i="14"/>
  <c r="D7" i="14"/>
  <c r="C7" i="14"/>
  <c r="D6" i="14"/>
  <c r="C6" i="14"/>
  <c r="G5" i="14"/>
  <c r="D5" i="14"/>
  <c r="C5" i="14"/>
  <c r="D4" i="14"/>
  <c r="C4" i="14"/>
  <c r="G3" i="14"/>
  <c r="D3" i="14"/>
  <c r="C3" i="14"/>
  <c r="B24" i="10"/>
  <c r="F22" i="10"/>
  <c r="E22" i="10"/>
  <c r="D22" i="10"/>
  <c r="C22" i="10"/>
  <c r="B22" i="10"/>
  <c r="F21" i="10"/>
  <c r="E21" i="10"/>
  <c r="D21" i="10"/>
  <c r="C21" i="10"/>
  <c r="B21" i="10"/>
  <c r="F19" i="10"/>
  <c r="E19" i="10"/>
  <c r="D19" i="10"/>
  <c r="C19" i="10"/>
  <c r="B19" i="10"/>
  <c r="F18" i="10"/>
  <c r="E18" i="10"/>
  <c r="D18" i="10"/>
  <c r="C18" i="10"/>
  <c r="B18" i="10"/>
  <c r="F17" i="10"/>
  <c r="B17" i="10"/>
  <c r="F16" i="10"/>
  <c r="E16" i="10"/>
  <c r="D16" i="10"/>
  <c r="C16" i="10"/>
  <c r="F15" i="10"/>
  <c r="E15" i="10"/>
  <c r="D15" i="10"/>
  <c r="C15" i="10"/>
  <c r="F14" i="10"/>
  <c r="E14" i="10"/>
  <c r="D14" i="10"/>
  <c r="C14" i="10"/>
  <c r="F13" i="10"/>
  <c r="E13" i="10"/>
  <c r="D13" i="10"/>
  <c r="C13" i="10"/>
  <c r="F12" i="10"/>
  <c r="E12" i="10"/>
  <c r="D12" i="10"/>
  <c r="C12" i="10"/>
  <c r="F8" i="10"/>
  <c r="E8" i="10"/>
  <c r="D8" i="10"/>
  <c r="C8" i="10"/>
  <c r="F6" i="10"/>
  <c r="E6" i="10"/>
  <c r="D6" i="10"/>
  <c r="B30" i="8"/>
  <c r="B29" i="8"/>
  <c r="B28" i="8"/>
  <c r="E26" i="8"/>
  <c r="B26" i="8"/>
  <c r="B25" i="8"/>
  <c r="B24" i="8"/>
  <c r="F22" i="8"/>
  <c r="E22" i="8"/>
  <c r="D22" i="8"/>
  <c r="C22" i="8"/>
  <c r="B22" i="8"/>
  <c r="F21" i="8"/>
  <c r="E21" i="8"/>
  <c r="D21" i="8"/>
  <c r="C21" i="8"/>
  <c r="B21" i="8"/>
  <c r="F19" i="8"/>
  <c r="E19" i="8"/>
  <c r="D19" i="8"/>
  <c r="C19" i="8"/>
  <c r="B19" i="8"/>
  <c r="F18" i="8"/>
  <c r="E18" i="8"/>
  <c r="D18" i="8"/>
  <c r="C18" i="8"/>
  <c r="B18" i="8"/>
  <c r="F17" i="8"/>
  <c r="B17" i="8"/>
  <c r="F16" i="8"/>
  <c r="E16" i="8"/>
  <c r="D16" i="8"/>
  <c r="C16" i="8"/>
  <c r="F15" i="8"/>
  <c r="E15" i="8"/>
  <c r="D15" i="8"/>
  <c r="C15" i="8"/>
  <c r="F14" i="8"/>
  <c r="E14" i="8"/>
  <c r="D14" i="8"/>
  <c r="C14" i="8"/>
  <c r="F13" i="8"/>
  <c r="E13" i="8"/>
  <c r="D13" i="8"/>
  <c r="C13" i="8"/>
  <c r="F12" i="8"/>
  <c r="E12" i="8"/>
  <c r="D12" i="8"/>
  <c r="C12" i="8"/>
  <c r="F8" i="8"/>
  <c r="E8" i="8"/>
  <c r="D8" i="8"/>
  <c r="C8" i="8"/>
  <c r="F6" i="8"/>
  <c r="E6" i="8"/>
  <c r="K6" i="12"/>
  <c r="L5" i="12"/>
  <c r="K5" i="12"/>
  <c r="L4" i="12"/>
  <c r="K4" i="12"/>
  <c r="L3" i="12"/>
  <c r="K3" i="12"/>
  <c r="L2" i="12"/>
  <c r="K2" i="12"/>
  <c r="D29" i="15"/>
  <c r="D30" i="15"/>
  <c r="C30" i="15"/>
  <c r="C29" i="15"/>
</calcChain>
</file>

<file path=xl/sharedStrings.xml><?xml version="1.0" encoding="utf-8"?>
<sst xmlns="http://schemas.openxmlformats.org/spreadsheetml/2006/main" count="204" uniqueCount="123">
  <si>
    <t>البند</t>
  </si>
  <si>
    <t>الكمية المطلوبة المتوقعة (وحدة)</t>
  </si>
  <si>
    <t>عمر المشروع ( سنوات)</t>
  </si>
  <si>
    <t>التكلفة المتغيرة للوحدة</t>
  </si>
  <si>
    <t>التكاليف المتغيرة الكلية</t>
  </si>
  <si>
    <t>نفقات الإيجار السنوية</t>
  </si>
  <si>
    <t>نفقات أخرى ثابتة</t>
  </si>
  <si>
    <t>التكاليف الكلية</t>
  </si>
  <si>
    <t>معدل الضريبة</t>
  </si>
  <si>
    <t>الاستثمار المبدئي</t>
  </si>
  <si>
    <t>معدل الخصم</t>
  </si>
  <si>
    <t>نفقات غير نقدية (الإهلاكات)</t>
  </si>
  <si>
    <t>القيمة الحالية للتدفق السنوي</t>
  </si>
  <si>
    <t>السنة</t>
  </si>
  <si>
    <t>السنوات</t>
  </si>
  <si>
    <t>قيمة الخردة</t>
  </si>
  <si>
    <t>تحليل الموازنة الرأسمالية لمشروع جديد</t>
  </si>
  <si>
    <t>صافي الربح قبل اضريبة</t>
  </si>
  <si>
    <t>ضريبة على الدخل (20%)</t>
  </si>
  <si>
    <t>صافي الربح بعد الضريبة</t>
  </si>
  <si>
    <t>صافي التدفق النقدي التشغيلي</t>
  </si>
  <si>
    <t xml:space="preserve">التدفق النقدي للشركة </t>
  </si>
  <si>
    <t>التدفق النقدي المتجمع</t>
  </si>
  <si>
    <t>القيمة الحالية المجمعة</t>
  </si>
  <si>
    <t>المتوسط المرجح لتكلفة رأس المال WACC</t>
  </si>
  <si>
    <t>فترة الاسترداد PB</t>
  </si>
  <si>
    <t>فترة الاسترداد المخصوم DPB</t>
  </si>
  <si>
    <t>صافي القيمة الحالية NPV</t>
  </si>
  <si>
    <t>دليل الربحية PI</t>
  </si>
  <si>
    <t>معدل العائد الداخلي IRR</t>
  </si>
  <si>
    <t>معدل العائد الداخلي المعدل MIRR</t>
  </si>
  <si>
    <t>التدفق النقدي المبدئي، وغير التشغيلي (قيمة الخردة)</t>
  </si>
  <si>
    <t xml:space="preserve">سعر البيع المقدر </t>
  </si>
  <si>
    <t xml:space="preserve">الإيراد الكلي     </t>
  </si>
  <si>
    <t xml:space="preserve">منتج مكملات غذائية </t>
  </si>
  <si>
    <t>شركة بن داود القابضة</t>
  </si>
  <si>
    <t xml:space="preserve">قيمة خردة التعادل </t>
  </si>
  <si>
    <t>$I$14</t>
  </si>
  <si>
    <t>$I$18</t>
  </si>
  <si>
    <t>$B$26</t>
  </si>
  <si>
    <t>A</t>
  </si>
  <si>
    <t>B</t>
  </si>
  <si>
    <t>C</t>
  </si>
  <si>
    <t>تلخيص السيناريو</t>
  </si>
  <si>
    <t>خلايا متغيرة:</t>
  </si>
  <si>
    <t>قيم حالية:</t>
  </si>
  <si>
    <t>خلايا الناتج:</t>
  </si>
  <si>
    <t>ملاحظات: يمثل العمود "قيم حالية" قيم الخلايا المتغيرة عند</t>
  </si>
  <si>
    <t>وقت إنشاء تقرير تلخيص السيناريو. الخلايا المتغيرة لكل</t>
  </si>
  <si>
    <t>سيناريو تم تمييزها بلون رمادي.</t>
  </si>
  <si>
    <t>السيناريو</t>
  </si>
  <si>
    <t>الوصف</t>
  </si>
  <si>
    <t>NPV</t>
  </si>
  <si>
    <t>الأحتمال المشترك</t>
  </si>
  <si>
    <t>معدل الضريبة20% وقيمة الخردة 40000</t>
  </si>
  <si>
    <t>معدل الضريبة25% وقيمة الخردة 40000</t>
  </si>
  <si>
    <t>معدل الضريبة20% وقيمة الخردة 24000</t>
  </si>
  <si>
    <t xml:space="preserve">صافي القيمة الحالية المتوقع(E(NPV    </t>
  </si>
  <si>
    <t>إنشاء بواسطة Administrator في 2/19/2025</t>
  </si>
  <si>
    <t>بن داود 2022</t>
  </si>
  <si>
    <t>بن داود 2023</t>
  </si>
  <si>
    <t xml:space="preserve">‏إجمالي الأصول الثابتة اول السنة </t>
  </si>
  <si>
    <t>WACC</t>
  </si>
  <si>
    <t xml:space="preserve">اجمالي الأصول الثابتة آخر السنة </t>
  </si>
  <si>
    <t xml:space="preserve">‏إجمالي الأصول المتداولة </t>
  </si>
  <si>
    <t>معدل نمو التدفق الحر</t>
  </si>
  <si>
    <t>‏ إجمالي المطلوبات الثابتة</t>
  </si>
  <si>
    <t>‏إجمالي المطلوبات المتداولة</t>
  </si>
  <si>
    <t>الضريبة</t>
  </si>
  <si>
    <t xml:space="preserve">‏الأوراق المالية قصيرة الأجل </t>
  </si>
  <si>
    <t xml:space="preserve">مكمل الضريبة </t>
  </si>
  <si>
    <t>‏اوراق الدفع</t>
  </si>
  <si>
    <t xml:space="preserve">الربح قبل الزكاة و الضريبة </t>
  </si>
  <si>
    <t>الربح التشغيلي</t>
  </si>
  <si>
    <t>‏صافي رأس المال تشغيلي العامل  2021</t>
  </si>
  <si>
    <t>الإهلاك</t>
  </si>
  <si>
    <t>اجمالي الديون</t>
  </si>
  <si>
    <t>عدد الأسهم العادية</t>
  </si>
  <si>
    <t xml:space="preserve">‏الأصول التشغيلية المتداولة </t>
  </si>
  <si>
    <t>‏الخصوم التشغيلية المتداولة</t>
  </si>
  <si>
    <t>‏صافي رأس المال العامل</t>
  </si>
  <si>
    <t>‏صافي رأس المال التشغيلي العامل</t>
  </si>
  <si>
    <t>اجمالي الأصول</t>
  </si>
  <si>
    <t>القيمة الدفترية لحقوق الملكية</t>
  </si>
  <si>
    <t>OCF</t>
  </si>
  <si>
    <t>GFA</t>
  </si>
  <si>
    <t>NOWC</t>
  </si>
  <si>
    <t>التدفق النقدي الحر FCF</t>
  </si>
  <si>
    <t xml:space="preserve">قيمة العمليات </t>
  </si>
  <si>
    <t>وقيمة الشركة</t>
  </si>
  <si>
    <t>القيمة السوقية لحقوق الملكية</t>
  </si>
  <si>
    <t xml:space="preserve">السعر المقدر للسهم </t>
  </si>
  <si>
    <t>القيمة السوقية المضافة MVA</t>
  </si>
  <si>
    <t>أنعام القابضة 2022</t>
  </si>
  <si>
    <t>أنعام القابضة 2023</t>
  </si>
  <si>
    <t xml:space="preserve">الربح (الخسارة) بعد الزكاة </t>
  </si>
  <si>
    <t>صافي رأس المال التشغيلي العامل 2021</t>
  </si>
  <si>
    <t>إطفاء أصول غير ملموسة</t>
  </si>
  <si>
    <t>‏إجمالي الأصول</t>
  </si>
  <si>
    <t>‏القيمة الدفترية لحقوق الملكية</t>
  </si>
  <si>
    <t>السنين</t>
  </si>
  <si>
    <t>الاصول المتداولة</t>
  </si>
  <si>
    <t>الخصوم المتداولة</t>
  </si>
  <si>
    <t>النقدية</t>
  </si>
  <si>
    <t>المدينون</t>
  </si>
  <si>
    <t>الدائنون</t>
  </si>
  <si>
    <t>المخزون</t>
  </si>
  <si>
    <t>تكلفة المبيعات السنوية</t>
  </si>
  <si>
    <t>تكلفة المبيعات اليومية</t>
  </si>
  <si>
    <t>المبيعات السنوية</t>
  </si>
  <si>
    <t>المبيعات اليومية الاجلة</t>
  </si>
  <si>
    <t>المشتريات اليومية الاجلة</t>
  </si>
  <si>
    <t>الاصول التشغيلية المتداولة</t>
  </si>
  <si>
    <t>الخصوم التشغيلية المتداولة</t>
  </si>
  <si>
    <t>اجمالي راس المال العامل</t>
  </si>
  <si>
    <t>صافي راس المال العامل</t>
  </si>
  <si>
    <t>صافي راس مال التشغيل العامل</t>
  </si>
  <si>
    <t>متوسط فترة التخزين (يوم)</t>
  </si>
  <si>
    <t>متوسط فترة التحصيل (يوم)</t>
  </si>
  <si>
    <t>متوسط فترة السداد (يوم)</t>
  </si>
  <si>
    <t>دورة التشغيل (يوم)</t>
  </si>
  <si>
    <t>دورة التحويل للنقدية (يوم)</t>
  </si>
  <si>
    <t>استثمارات قصيرة الاجل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</si>
</sst>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6"/>
      <color theme="1"/>
      <name val="Sakkal Majalla"/>
      <family val="2"/>
    </font>
    <font>
      <b/>
      <sz val="20"/>
      <color rgb="FFFF0000"/>
      <name val="Sakkal Majalla"/>
      <family val="2"/>
    </font>
    <font>
      <sz val="16"/>
      <color rgb="FFFF0000"/>
      <name val="Sakkal Majalla"/>
      <family val="2"/>
    </font>
    <font>
      <b/>
      <sz val="16"/>
      <color theme="1"/>
      <name val="Sakkal Majalla"/>
      <family val="2"/>
    </font>
    <font>
      <b/>
      <sz val="16"/>
      <color rgb="FFFF0000"/>
      <name val="Sakkal Majalla"/>
      <family val="2"/>
    </font>
    <font>
      <sz val="16"/>
      <color rgb="FFC00000"/>
      <name val="Sakkal Majalla"/>
      <family val="2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indexed="9"/>
      <name val="Sakkal Majalla"/>
      <family val="2"/>
    </font>
    <font>
      <b/>
      <sz val="16"/>
      <color indexed="8"/>
      <name val="Sakkal Majalla"/>
      <family val="2"/>
    </font>
    <font>
      <b/>
      <sz val="16"/>
      <color indexed="18"/>
      <name val="Sakkal Majalla"/>
      <family val="2"/>
    </font>
    <font>
      <sz val="14"/>
      <color indexed="9"/>
      <name val="Sakkal Majalla"/>
      <family val="2"/>
    </font>
    <font>
      <sz val="8"/>
      <color theme="1"/>
      <name val="Sakkal Majall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6"/>
      <color theme="1"/>
      <name val="Sakkal Majalla"/>
      <family val="2"/>
    </font>
  </fonts>
  <fills count="16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4E95D9"/>
        <bgColor indexed="64"/>
      </patternFill>
    </fill>
    <fill>
      <patternFill patternType="solid">
        <fgColor rgb="FFFFCC66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88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3" xfId="0" applyFill="1" applyBorder="1" applyAlignment="1">
      <alignment horizontal="right" vertical="center"/>
    </xf>
    <xf numFmtId="3" fontId="0" fillId="0" borderId="0" xfId="1" applyNumberFormat="1" applyFont="1"/>
    <xf numFmtId="0" fontId="0" fillId="0" borderId="2" xfId="0" applyBorder="1"/>
    <xf numFmtId="3" fontId="0" fillId="0" borderId="4" xfId="0" applyNumberFormat="1" applyBorder="1"/>
    <xf numFmtId="3" fontId="0" fillId="0" borderId="5" xfId="0" applyNumberFormat="1" applyBorder="1"/>
    <xf numFmtId="3" fontId="0" fillId="5" borderId="4" xfId="0" applyNumberFormat="1" applyFill="1" applyBorder="1"/>
    <xf numFmtId="3" fontId="0" fillId="0" borderId="4" xfId="1" applyNumberFormat="1" applyFont="1" applyBorder="1"/>
    <xf numFmtId="3" fontId="0" fillId="5" borderId="4" xfId="1" applyNumberFormat="1" applyFont="1" applyFill="1" applyBorder="1"/>
    <xf numFmtId="0" fontId="0" fillId="4" borderId="6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4" borderId="8" xfId="1" applyNumberFormat="1" applyFont="1" applyFill="1" applyBorder="1"/>
    <xf numFmtId="3" fontId="0" fillId="4" borderId="8" xfId="0" applyNumberFormat="1" applyFill="1" applyBorder="1"/>
    <xf numFmtId="3" fontId="0" fillId="4" borderId="9" xfId="0" applyNumberFormat="1" applyFill="1" applyBorder="1"/>
    <xf numFmtId="3" fontId="2" fillId="0" borderId="4" xfId="0" applyNumberFormat="1" applyFont="1" applyBorder="1"/>
    <xf numFmtId="3" fontId="0" fillId="4" borderId="4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5" fillId="0" borderId="4" xfId="0" applyNumberFormat="1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3" fontId="5" fillId="0" borderId="4" xfId="1" applyNumberFormat="1" applyFont="1" applyBorder="1"/>
    <xf numFmtId="3" fontId="4" fillId="5" borderId="4" xfId="0" applyNumberFormat="1" applyFont="1" applyFill="1" applyBorder="1"/>
    <xf numFmtId="0" fontId="3" fillId="6" borderId="0" xfId="0" applyFont="1" applyFill="1" applyAlignment="1">
      <alignment horizontal="right" vertical="center"/>
    </xf>
    <xf numFmtId="4" fontId="3" fillId="0" borderId="0" xfId="1" applyNumberFormat="1" applyFont="1"/>
    <xf numFmtId="3" fontId="3" fillId="0" borderId="0" xfId="1" applyNumberFormat="1" applyFont="1"/>
    <xf numFmtId="3" fontId="3" fillId="0" borderId="0" xfId="0" applyNumberFormat="1" applyFont="1"/>
    <xf numFmtId="4" fontId="3" fillId="0" borderId="0" xfId="0" applyNumberFormat="1" applyFont="1"/>
    <xf numFmtId="10" fontId="3" fillId="0" borderId="0" xfId="1" applyNumberFormat="1" applyFont="1"/>
    <xf numFmtId="3" fontId="2" fillId="0" borderId="10" xfId="1" applyNumberFormat="1" applyFont="1" applyBorder="1"/>
    <xf numFmtId="3" fontId="2" fillId="0" borderId="10" xfId="0" applyNumberFormat="1" applyFont="1" applyBorder="1"/>
    <xf numFmtId="0" fontId="0" fillId="5" borderId="11" xfId="0" applyFill="1" applyBorder="1" applyAlignment="1">
      <alignment horizontal="right"/>
    </xf>
    <xf numFmtId="0" fontId="0" fillId="0" borderId="11" xfId="0" applyBorder="1"/>
    <xf numFmtId="0" fontId="5" fillId="0" borderId="11" xfId="0" applyFont="1" applyBorder="1"/>
    <xf numFmtId="0" fontId="0" fillId="0" borderId="11" xfId="0" applyBorder="1" applyAlignment="1">
      <alignment horizontal="right" vertical="center"/>
    </xf>
    <xf numFmtId="0" fontId="0" fillId="5" borderId="11" xfId="0" applyFill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0" fillId="5" borderId="4" xfId="0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  <xf numFmtId="3" fontId="4" fillId="5" borderId="4" xfId="0" applyNumberFormat="1" applyFont="1" applyFill="1" applyBorder="1" applyAlignment="1">
      <alignment horizontal="right" vertical="center"/>
    </xf>
    <xf numFmtId="3" fontId="2" fillId="0" borderId="12" xfId="1" applyNumberFormat="1" applyFont="1" applyBorder="1"/>
    <xf numFmtId="3" fontId="2" fillId="0" borderId="12" xfId="0" applyNumberFormat="1" applyFont="1" applyBorder="1"/>
    <xf numFmtId="3" fontId="6" fillId="2" borderId="0" xfId="3" applyNumberFormat="1"/>
    <xf numFmtId="44" fontId="6" fillId="2" borderId="0" xfId="3" applyNumberFormat="1"/>
    <xf numFmtId="3" fontId="4" fillId="7" borderId="10" xfId="0" applyNumberFormat="1" applyFont="1" applyFill="1" applyBorder="1"/>
    <xf numFmtId="0" fontId="0" fillId="4" borderId="0" xfId="0" applyFill="1" applyAlignment="1">
      <alignment horizontal="right" vertical="center"/>
    </xf>
    <xf numFmtId="3" fontId="0" fillId="0" borderId="13" xfId="0" applyNumberFormat="1" applyBorder="1"/>
    <xf numFmtId="0" fontId="8" fillId="8" borderId="14" xfId="0" applyFont="1" applyFill="1" applyBorder="1" applyAlignment="1">
      <alignment horizontal="left"/>
    </xf>
    <xf numFmtId="0" fontId="8" fillId="8" borderId="15" xfId="0" applyFont="1" applyFill="1" applyBorder="1" applyAlignment="1">
      <alignment horizontal="left"/>
    </xf>
    <xf numFmtId="0" fontId="10" fillId="9" borderId="16" xfId="0" applyFont="1" applyFill="1" applyBorder="1" applyAlignment="1">
      <alignment horizontal="left"/>
    </xf>
    <xf numFmtId="0" fontId="9" fillId="9" borderId="13" xfId="0" applyFont="1" applyFill="1" applyBorder="1" applyAlignment="1">
      <alignment horizontal="left"/>
    </xf>
    <xf numFmtId="0" fontId="11" fillId="8" borderId="15" xfId="0" applyFont="1" applyFill="1" applyBorder="1" applyAlignment="1">
      <alignment horizontal="right"/>
    </xf>
    <xf numFmtId="0" fontId="11" fillId="8" borderId="14" xfId="0" applyFont="1" applyFill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7" fillId="3" borderId="0" xfId="4"/>
    <xf numFmtId="10" fontId="0" fillId="0" borderId="0" xfId="0" applyNumberFormat="1"/>
    <xf numFmtId="43" fontId="7" fillId="3" borderId="0" xfId="2" applyFont="1" applyFill="1"/>
    <xf numFmtId="9" fontId="0" fillId="0" borderId="0" xfId="0" applyNumberFormat="1"/>
    <xf numFmtId="0" fontId="0" fillId="0" borderId="16" xfId="0" applyBorder="1"/>
    <xf numFmtId="0" fontId="9" fillId="9" borderId="0" xfId="0" applyFont="1" applyFill="1" applyAlignment="1">
      <alignment horizontal="left"/>
    </xf>
    <xf numFmtId="9" fontId="0" fillId="10" borderId="0" xfId="0" applyNumberFormat="1" applyFill="1"/>
    <xf numFmtId="3" fontId="0" fillId="10" borderId="0" xfId="0" applyNumberFormat="1" applyFill="1"/>
    <xf numFmtId="0" fontId="12" fillId="0" borderId="0" xfId="0" applyFont="1" applyAlignment="1">
      <alignment vertical="top" wrapText="1"/>
    </xf>
    <xf numFmtId="0" fontId="14" fillId="0" borderId="0" xfId="0" applyFont="1"/>
    <xf numFmtId="0" fontId="14" fillId="11" borderId="0" xfId="0" applyFont="1" applyFill="1"/>
    <xf numFmtId="0" fontId="14" fillId="12" borderId="0" xfId="0" applyFont="1" applyFill="1"/>
    <xf numFmtId="0" fontId="14" fillId="0" borderId="0" xfId="0" quotePrefix="1" applyFont="1"/>
    <xf numFmtId="0" fontId="14" fillId="13" borderId="0" xfId="0" applyFont="1" applyFill="1"/>
    <xf numFmtId="0" fontId="14" fillId="14" borderId="0" xfId="0" applyFont="1" applyFill="1"/>
    <xf numFmtId="0" fontId="13" fillId="0" borderId="0" xfId="0" applyFont="1"/>
    <xf numFmtId="164" fontId="13" fillId="0" borderId="0" xfId="2" applyNumberFormat="1" applyFont="1"/>
    <xf numFmtId="0" fontId="13" fillId="15" borderId="0" xfId="0" applyFont="1" applyFill="1"/>
    <xf numFmtId="164" fontId="13" fillId="15" borderId="0" xfId="2" applyNumberFormat="1" applyFont="1" applyFill="1"/>
    <xf numFmtId="0" fontId="13" fillId="15" borderId="0" xfId="2" applyNumberFormat="1" applyFont="1" applyFill="1"/>
    <xf numFmtId="2" fontId="13" fillId="15" borderId="0" xfId="0" applyNumberFormat="1" applyFont="1" applyFill="1"/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3" fontId="0" fillId="4" borderId="19" xfId="1" applyNumberFormat="1" applyFont="1" applyFill="1" applyBorder="1" applyAlignment="1">
      <alignment horizontal="center"/>
    </xf>
    <xf numFmtId="3" fontId="0" fillId="4" borderId="20" xfId="1" applyNumberFormat="1" applyFont="1" applyFill="1" applyBorder="1" applyAlignment="1">
      <alignment horizontal="center"/>
    </xf>
    <xf numFmtId="3" fontId="0" fillId="4" borderId="21" xfId="1" applyNumberFormat="1" applyFont="1" applyFill="1" applyBorder="1" applyAlignment="1">
      <alignment horizontal="center"/>
    </xf>
  </cellXfs>
  <cellStyles count="5">
    <cellStyle name="Accent5" xfId="4" builtinId="45"/>
    <cellStyle name="Comma" xfId="2" builtinId="3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3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14" Type="http://schemas.openxmlformats.org/officeDocument/2006/relationships/customXml" Target="../customXml/item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rightToLeft="1" tabSelected="1" topLeftCell="A20" workbookViewId="0">
      <selection activeCell="A31" sqref="A31"/>
    </sheetView>
  </sheetViews>
  <sheetFormatPr defaultRowHeight="25.5" x14ac:dyDescent="0.55000000000000004"/>
  <cols>
    <col min="1" max="1" width="35.8515625" style="3" customWidth="1"/>
    <col min="2" max="2" width="19.3125" style="7" customWidth="1"/>
    <col min="3" max="3" width="12.2578125" style="1" customWidth="1"/>
    <col min="4" max="4" width="12.2578125" style="7" customWidth="1"/>
    <col min="5" max="6" width="12.2578125" style="1" customWidth="1"/>
    <col min="7" max="7" width="4.5078125" customWidth="1"/>
    <col min="8" max="8" width="17.80859375" customWidth="1"/>
    <col min="9" max="9" width="10.640625" style="15" customWidth="1"/>
  </cols>
  <sheetData>
    <row r="1" spans="1:9" ht="32.25" thickBot="1" x14ac:dyDescent="0.6">
      <c r="A1" s="2" t="s">
        <v>16</v>
      </c>
      <c r="B1" s="50" t="s">
        <v>34</v>
      </c>
      <c r="C1" s="49" t="s">
        <v>35</v>
      </c>
    </row>
    <row r="2" spans="1:9" ht="26.25" thickBot="1" x14ac:dyDescent="0.6">
      <c r="A2" s="83" t="s">
        <v>0</v>
      </c>
      <c r="B2" s="85" t="s">
        <v>14</v>
      </c>
      <c r="C2" s="86"/>
      <c r="D2" s="86"/>
      <c r="E2" s="86"/>
      <c r="F2" s="87"/>
    </row>
    <row r="3" spans="1:9" ht="26.25" thickBot="1" x14ac:dyDescent="0.6">
      <c r="A3" s="84"/>
      <c r="B3" s="23">
        <v>0</v>
      </c>
      <c r="C3" s="23">
        <v>1</v>
      </c>
      <c r="D3" s="23">
        <v>2</v>
      </c>
      <c r="E3" s="23">
        <v>3</v>
      </c>
      <c r="F3" s="24">
        <v>4</v>
      </c>
      <c r="H3" s="14" t="s">
        <v>2</v>
      </c>
      <c r="I3" s="16">
        <v>4</v>
      </c>
    </row>
    <row r="4" spans="1:9" x14ac:dyDescent="0.55000000000000004">
      <c r="A4" s="8" t="s">
        <v>1</v>
      </c>
      <c r="B4" s="9"/>
      <c r="C4" s="9">
        <v>1000</v>
      </c>
      <c r="D4" s="9">
        <v>1000</v>
      </c>
      <c r="E4" s="9">
        <v>1000</v>
      </c>
      <c r="F4" s="10">
        <v>1000</v>
      </c>
    </row>
    <row r="5" spans="1:9" x14ac:dyDescent="0.55000000000000004">
      <c r="A5" s="8" t="s">
        <v>32</v>
      </c>
      <c r="B5" s="9"/>
      <c r="C5" s="9">
        <v>90</v>
      </c>
      <c r="D5" s="9">
        <v>90</v>
      </c>
      <c r="E5" s="9">
        <v>80</v>
      </c>
      <c r="F5" s="10">
        <v>70</v>
      </c>
    </row>
    <row r="6" spans="1:9" x14ac:dyDescent="0.55000000000000004">
      <c r="A6" s="38" t="s">
        <v>33</v>
      </c>
      <c r="B6" s="11"/>
      <c r="C6" s="29">
        <v>90000</v>
      </c>
      <c r="D6" s="29">
        <f>D4*D5</f>
        <v>90000</v>
      </c>
      <c r="E6" s="29">
        <f t="shared" ref="E6:F6" si="0">E4*E5</f>
        <v>80000</v>
      </c>
      <c r="F6" s="29">
        <f t="shared" si="0"/>
        <v>70000</v>
      </c>
    </row>
    <row r="7" spans="1:9" x14ac:dyDescent="0.55000000000000004">
      <c r="A7" s="39" t="s">
        <v>3</v>
      </c>
      <c r="B7" s="9"/>
      <c r="C7" s="9">
        <v>15</v>
      </c>
      <c r="D7" s="9">
        <v>15</v>
      </c>
      <c r="E7" s="9">
        <v>20</v>
      </c>
      <c r="F7" s="9">
        <v>23</v>
      </c>
    </row>
    <row r="8" spans="1:9" s="26" customFormat="1" x14ac:dyDescent="0.55000000000000004">
      <c r="A8" s="40" t="s">
        <v>4</v>
      </c>
      <c r="B8" s="25"/>
      <c r="C8" s="22">
        <f>C4*C7</f>
        <v>15000</v>
      </c>
      <c r="D8" s="22">
        <f t="shared" ref="D8:F8" si="1">D4*D7</f>
        <v>15000</v>
      </c>
      <c r="E8" s="22">
        <f t="shared" si="1"/>
        <v>20000</v>
      </c>
      <c r="F8" s="22">
        <f t="shared" si="1"/>
        <v>23000</v>
      </c>
      <c r="I8" s="27"/>
    </row>
    <row r="9" spans="1:9" x14ac:dyDescent="0.55000000000000004">
      <c r="A9" s="39" t="s">
        <v>5</v>
      </c>
      <c r="B9" s="9"/>
      <c r="C9" s="9">
        <v>10000</v>
      </c>
      <c r="D9" s="9">
        <v>10000</v>
      </c>
      <c r="E9" s="9">
        <v>10000</v>
      </c>
      <c r="F9" s="9">
        <v>10000</v>
      </c>
    </row>
    <row r="10" spans="1:9" x14ac:dyDescent="0.55000000000000004">
      <c r="A10" s="41" t="s">
        <v>6</v>
      </c>
      <c r="B10" s="12"/>
      <c r="C10" s="9">
        <v>10000</v>
      </c>
      <c r="D10" s="9">
        <v>10000</v>
      </c>
      <c r="E10" s="9">
        <v>10000</v>
      </c>
      <c r="F10" s="9">
        <v>10000</v>
      </c>
    </row>
    <row r="11" spans="1:9" x14ac:dyDescent="0.55000000000000004">
      <c r="A11" s="41" t="s">
        <v>11</v>
      </c>
      <c r="B11" s="12"/>
      <c r="C11" s="9">
        <v>20000</v>
      </c>
      <c r="D11" s="9">
        <v>20000</v>
      </c>
      <c r="E11" s="9">
        <v>20000</v>
      </c>
      <c r="F11" s="9">
        <v>20000</v>
      </c>
    </row>
    <row r="12" spans="1:9" x14ac:dyDescent="0.55000000000000004">
      <c r="A12" s="42" t="s">
        <v>7</v>
      </c>
      <c r="B12" s="13"/>
      <c r="C12" s="29">
        <f>SUM(C8:C11)</f>
        <v>55000</v>
      </c>
      <c r="D12" s="29">
        <f t="shared" ref="D12:F12" si="2">SUM(D8:D11)</f>
        <v>55000</v>
      </c>
      <c r="E12" s="29">
        <f t="shared" si="2"/>
        <v>60000</v>
      </c>
      <c r="F12" s="29">
        <f t="shared" si="2"/>
        <v>63000</v>
      </c>
    </row>
    <row r="13" spans="1:9" ht="26.25" thickBot="1" x14ac:dyDescent="0.6">
      <c r="A13" s="42" t="s">
        <v>17</v>
      </c>
      <c r="B13" s="44"/>
      <c r="C13" s="46">
        <f>C6-C12</f>
        <v>35000</v>
      </c>
      <c r="D13" s="46">
        <f t="shared" ref="D13:F13" si="3">D6-D12</f>
        <v>35000</v>
      </c>
      <c r="E13" s="46">
        <f t="shared" si="3"/>
        <v>20000</v>
      </c>
      <c r="F13" s="46">
        <f t="shared" si="3"/>
        <v>7000</v>
      </c>
    </row>
    <row r="14" spans="1:9" ht="26.25" thickBot="1" x14ac:dyDescent="0.6">
      <c r="A14" s="43" t="s">
        <v>18</v>
      </c>
      <c r="B14" s="28"/>
      <c r="C14" s="22">
        <f>$I$14*C13</f>
        <v>7000</v>
      </c>
      <c r="D14" s="22">
        <f t="shared" ref="D14:F14" si="4">$I$14*D13</f>
        <v>7000</v>
      </c>
      <c r="E14" s="22">
        <f t="shared" si="4"/>
        <v>4000</v>
      </c>
      <c r="F14" s="22">
        <f t="shared" si="4"/>
        <v>1400</v>
      </c>
      <c r="H14" s="14" t="s">
        <v>8</v>
      </c>
      <c r="I14" s="17">
        <v>0.2</v>
      </c>
    </row>
    <row r="15" spans="1:9" x14ac:dyDescent="0.55000000000000004">
      <c r="A15" s="42" t="s">
        <v>19</v>
      </c>
      <c r="B15" s="44"/>
      <c r="C15" s="46">
        <f>C13-C14</f>
        <v>28000</v>
      </c>
      <c r="D15" s="46">
        <f t="shared" ref="D15:F15" si="5">D13-D14</f>
        <v>28000</v>
      </c>
      <c r="E15" s="46">
        <f t="shared" si="5"/>
        <v>16000</v>
      </c>
      <c r="F15" s="46">
        <f t="shared" si="5"/>
        <v>5600</v>
      </c>
    </row>
    <row r="16" spans="1:9" ht="26.25" thickBot="1" x14ac:dyDescent="0.6">
      <c r="A16" s="43" t="s">
        <v>20</v>
      </c>
      <c r="B16" s="12"/>
      <c r="C16" s="22">
        <f>C15+C11</f>
        <v>48000</v>
      </c>
      <c r="D16" s="22">
        <f t="shared" ref="D16:F16" si="6">D15+D11</f>
        <v>48000</v>
      </c>
      <c r="E16" s="22">
        <f t="shared" si="6"/>
        <v>36000</v>
      </c>
      <c r="F16" s="22">
        <f t="shared" si="6"/>
        <v>25600</v>
      </c>
    </row>
    <row r="17" spans="1:9" ht="26.25" thickBot="1" x14ac:dyDescent="0.6">
      <c r="A17" s="42" t="s">
        <v>31</v>
      </c>
      <c r="B17" s="46">
        <f>-I17</f>
        <v>-100000</v>
      </c>
      <c r="C17" s="45"/>
      <c r="D17" s="45"/>
      <c r="E17" s="45"/>
      <c r="F17" s="46">
        <f>I18</f>
        <v>40000</v>
      </c>
      <c r="H17" s="14" t="s">
        <v>9</v>
      </c>
      <c r="I17" s="18">
        <v>100000</v>
      </c>
    </row>
    <row r="18" spans="1:9" ht="26.25" thickBot="1" x14ac:dyDescent="0.6">
      <c r="A18" s="42" t="s">
        <v>21</v>
      </c>
      <c r="B18" s="46">
        <f>B16+B17</f>
        <v>-100000</v>
      </c>
      <c r="C18" s="46">
        <f t="shared" ref="C18:F18" si="7">C16+C17</f>
        <v>48000</v>
      </c>
      <c r="D18" s="46">
        <f t="shared" si="7"/>
        <v>48000</v>
      </c>
      <c r="E18" s="46">
        <f t="shared" si="7"/>
        <v>36000</v>
      </c>
      <c r="F18" s="46">
        <f t="shared" si="7"/>
        <v>65600</v>
      </c>
      <c r="H18" s="14" t="s">
        <v>15</v>
      </c>
      <c r="I18" s="18">
        <v>40000</v>
      </c>
    </row>
    <row r="19" spans="1:9" ht="26.25" thickBot="1" x14ac:dyDescent="0.6">
      <c r="A19" s="3" t="s">
        <v>22</v>
      </c>
      <c r="B19" s="47">
        <f>B18</f>
        <v>-100000</v>
      </c>
      <c r="C19" s="48">
        <f>B19+C18</f>
        <v>-52000</v>
      </c>
      <c r="D19" s="48">
        <f t="shared" ref="D19:F19" si="8">C19+D18</f>
        <v>-4000</v>
      </c>
      <c r="E19" s="48">
        <f t="shared" si="8"/>
        <v>32000</v>
      </c>
      <c r="F19" s="48">
        <f t="shared" si="8"/>
        <v>97600</v>
      </c>
      <c r="I19"/>
    </row>
    <row r="20" spans="1:9" ht="26.25" thickBot="1" x14ac:dyDescent="0.6">
      <c r="A20" s="4" t="s">
        <v>13</v>
      </c>
      <c r="B20" s="19">
        <v>0</v>
      </c>
      <c r="C20" s="20">
        <v>1</v>
      </c>
      <c r="D20" s="19">
        <v>2</v>
      </c>
      <c r="E20" s="20">
        <v>3</v>
      </c>
      <c r="F20" s="21">
        <v>4</v>
      </c>
      <c r="I20"/>
    </row>
    <row r="21" spans="1:9" ht="26.25" thickBot="1" x14ac:dyDescent="0.6">
      <c r="A21" s="5" t="s">
        <v>12</v>
      </c>
      <c r="B21" s="22">
        <f>B18</f>
        <v>-100000</v>
      </c>
      <c r="C21" s="22">
        <f>C18/(1+$I$21)^C20</f>
        <v>42857.142857142855</v>
      </c>
      <c r="D21" s="22">
        <f t="shared" ref="D21:F21" si="9">D18/(1+$I$21)^D20</f>
        <v>38265.306122448972</v>
      </c>
      <c r="E21" s="22">
        <f t="shared" si="9"/>
        <v>25624.088921282793</v>
      </c>
      <c r="F21" s="22">
        <f t="shared" si="9"/>
        <v>41689.985943356922</v>
      </c>
      <c r="H21" s="14" t="s">
        <v>10</v>
      </c>
      <c r="I21" s="17">
        <v>0.12</v>
      </c>
    </row>
    <row r="22" spans="1:9" ht="26.25" thickBot="1" x14ac:dyDescent="0.6">
      <c r="A22" s="6" t="s">
        <v>23</v>
      </c>
      <c r="B22" s="36">
        <f>B18</f>
        <v>-100000</v>
      </c>
      <c r="C22" s="37">
        <f>B22+C21</f>
        <v>-57142.857142857145</v>
      </c>
      <c r="D22" s="37">
        <f t="shared" ref="D22:F22" si="10">C22+D21</f>
        <v>-18877.551020408173</v>
      </c>
      <c r="E22" s="37">
        <f t="shared" si="10"/>
        <v>6746.5379008746204</v>
      </c>
      <c r="F22" s="51">
        <f t="shared" si="10"/>
        <v>48436.523844231546</v>
      </c>
      <c r="H22" t="s">
        <v>24</v>
      </c>
      <c r="I22"/>
    </row>
    <row r="23" spans="1:9" x14ac:dyDescent="0.55000000000000004">
      <c r="C23" s="7"/>
      <c r="E23" s="7"/>
      <c r="F23" s="7"/>
    </row>
    <row r="24" spans="1:9" x14ac:dyDescent="0.55000000000000004">
      <c r="A24" s="30" t="s">
        <v>25</v>
      </c>
      <c r="B24" s="31">
        <f>2+(-D19/E18)</f>
        <v>2.1111111111111112</v>
      </c>
      <c r="C24" s="32"/>
      <c r="E24" s="7"/>
      <c r="F24" s="7"/>
    </row>
    <row r="25" spans="1:9" x14ac:dyDescent="0.55000000000000004">
      <c r="A25" s="30" t="s">
        <v>26</v>
      </c>
      <c r="B25" s="31">
        <f>2+(-D22/E21)</f>
        <v>2.7367111111111115</v>
      </c>
      <c r="C25" s="33"/>
    </row>
    <row r="26" spans="1:9" x14ac:dyDescent="0.55000000000000004">
      <c r="A26" s="30" t="s">
        <v>27</v>
      </c>
      <c r="B26" s="32">
        <f>NPV($I$21,C18:F18)+B18</f>
        <v>48436.523844231531</v>
      </c>
      <c r="C26" s="33"/>
      <c r="E26" s="1">
        <f>-B26*(1.12)^4</f>
        <v>-76215.807999999961</v>
      </c>
    </row>
    <row r="27" spans="1:9" x14ac:dyDescent="0.55000000000000004">
      <c r="B27" s="32"/>
      <c r="C27" s="33"/>
    </row>
    <row r="28" spans="1:9" x14ac:dyDescent="0.55000000000000004">
      <c r="A28" s="30" t="s">
        <v>28</v>
      </c>
      <c r="B28" s="31">
        <f>(B26+I17)/I17</f>
        <v>1.4843652384423154</v>
      </c>
      <c r="C28" s="34"/>
    </row>
    <row r="29" spans="1:9" x14ac:dyDescent="0.55000000000000004">
      <c r="A29" s="30" t="s">
        <v>29</v>
      </c>
      <c r="B29" s="35">
        <f>IRR(B18:F18)</f>
        <v>0.32694906501650234</v>
      </c>
      <c r="C29" s="33"/>
    </row>
    <row r="30" spans="1:9" x14ac:dyDescent="0.55000000000000004">
      <c r="A30" s="30" t="s">
        <v>30</v>
      </c>
      <c r="B30" s="35">
        <f>MIRR(B18:F18,I20,I20)</f>
        <v>0.18562332604602805</v>
      </c>
      <c r="C30" s="33"/>
    </row>
    <row r="31" spans="1:9" x14ac:dyDescent="0.55000000000000004">
      <c r="B31" s="32"/>
      <c r="C31" s="33"/>
    </row>
  </sheetData>
  <scenarios current="0" show="0" sqref="">
    <scenario name="A" locked="1" count="1" user="Administrator" comment="إنشاء بواسطة Administrator في 2/19/2025">
      <inputCells r="I14" val="0.25" numFmtId="9"/>
    </scenario>
    <scenario name="B" locked="1" count="1" user="Administrator" comment="إنشاء بواسطة Administrator في 2/19/2025">
      <inputCells r="I18" val="24000" numFmtId="3"/>
    </scenario>
    <scenario name="C" locked="1" count="2" user="Administrator" comment="إنشاء بواسطة Administrator في 2/19/2025">
      <inputCells r="I14" val="0.25" numFmtId="9"/>
      <inputCells r="I18" val="24000" numFmtId="3"/>
    </scenario>
  </scenarios>
  <mergeCells count="2">
    <mergeCell ref="A2:A3"/>
    <mergeCell ref="B2:F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F919-0582-468E-86DE-7348623CC430}">
  <dimension ref="A1:I31"/>
  <sheetViews>
    <sheetView rightToLeft="1" topLeftCell="A8" workbookViewId="0">
      <selection activeCell="F18" sqref="F18"/>
    </sheetView>
  </sheetViews>
  <sheetFormatPr defaultRowHeight="25.5" x14ac:dyDescent="0.55000000000000004"/>
  <cols>
    <col min="1" max="1" width="35.8515625" style="3" customWidth="1"/>
    <col min="2" max="2" width="19.3125" style="7" customWidth="1"/>
    <col min="3" max="3" width="12.2578125" style="1" customWidth="1"/>
    <col min="4" max="4" width="12.2578125" style="7" customWidth="1"/>
    <col min="5" max="6" width="12.2578125" style="1" customWidth="1"/>
    <col min="7" max="7" width="4.5078125" customWidth="1"/>
    <col min="8" max="8" width="17.80859375" customWidth="1"/>
    <col min="9" max="9" width="10.640625" style="15" customWidth="1"/>
  </cols>
  <sheetData>
    <row r="1" spans="1:9" ht="32.25" thickBot="1" x14ac:dyDescent="0.6">
      <c r="A1" s="2" t="s">
        <v>16</v>
      </c>
      <c r="B1" s="50" t="s">
        <v>34</v>
      </c>
      <c r="C1" s="49" t="s">
        <v>35</v>
      </c>
    </row>
    <row r="2" spans="1:9" ht="26.25" thickBot="1" x14ac:dyDescent="0.6">
      <c r="A2" s="83" t="s">
        <v>0</v>
      </c>
      <c r="B2" s="85" t="s">
        <v>14</v>
      </c>
      <c r="C2" s="86"/>
      <c r="D2" s="86"/>
      <c r="E2" s="86"/>
      <c r="F2" s="87"/>
    </row>
    <row r="3" spans="1:9" ht="26.25" thickBot="1" x14ac:dyDescent="0.6">
      <c r="A3" s="84"/>
      <c r="B3" s="23">
        <v>0</v>
      </c>
      <c r="C3" s="23">
        <v>1</v>
      </c>
      <c r="D3" s="23">
        <v>2</v>
      </c>
      <c r="E3" s="23">
        <v>3</v>
      </c>
      <c r="F3" s="24">
        <v>4</v>
      </c>
      <c r="H3" s="14" t="s">
        <v>2</v>
      </c>
      <c r="I3" s="16">
        <v>4</v>
      </c>
    </row>
    <row r="4" spans="1:9" x14ac:dyDescent="0.55000000000000004">
      <c r="A4" s="8" t="s">
        <v>1</v>
      </c>
      <c r="B4" s="9"/>
      <c r="C4" s="9">
        <v>1000</v>
      </c>
      <c r="D4" s="9">
        <v>1000</v>
      </c>
      <c r="E4" s="9">
        <v>1000</v>
      </c>
      <c r="F4" s="10">
        <v>1000</v>
      </c>
    </row>
    <row r="5" spans="1:9" x14ac:dyDescent="0.55000000000000004">
      <c r="A5" s="8" t="s">
        <v>32</v>
      </c>
      <c r="B5" s="9"/>
      <c r="C5" s="9">
        <v>90</v>
      </c>
      <c r="D5" s="9">
        <v>90</v>
      </c>
      <c r="E5" s="9">
        <v>80</v>
      </c>
      <c r="F5" s="10">
        <v>70</v>
      </c>
    </row>
    <row r="6" spans="1:9" x14ac:dyDescent="0.55000000000000004">
      <c r="A6" s="38" t="s">
        <v>33</v>
      </c>
      <c r="B6" s="11"/>
      <c r="C6" s="29">
        <v>90000</v>
      </c>
      <c r="D6" s="29">
        <f>D4*D5</f>
        <v>90000</v>
      </c>
      <c r="E6" s="29">
        <f t="shared" ref="E6:F6" si="0">E4*E5</f>
        <v>80000</v>
      </c>
      <c r="F6" s="29">
        <f t="shared" si="0"/>
        <v>70000</v>
      </c>
    </row>
    <row r="7" spans="1:9" x14ac:dyDescent="0.55000000000000004">
      <c r="A7" s="39" t="s">
        <v>3</v>
      </c>
      <c r="B7" s="9"/>
      <c r="C7" s="9">
        <v>15</v>
      </c>
      <c r="D7" s="9">
        <v>15</v>
      </c>
      <c r="E7" s="9">
        <v>20</v>
      </c>
      <c r="F7" s="9">
        <v>23</v>
      </c>
    </row>
    <row r="8" spans="1:9" s="26" customFormat="1" x14ac:dyDescent="0.55000000000000004">
      <c r="A8" s="40" t="s">
        <v>4</v>
      </c>
      <c r="B8" s="25"/>
      <c r="C8" s="22">
        <f>C4*C7</f>
        <v>15000</v>
      </c>
      <c r="D8" s="22">
        <f t="shared" ref="D8:F8" si="1">D4*D7</f>
        <v>15000</v>
      </c>
      <c r="E8" s="22">
        <f t="shared" si="1"/>
        <v>20000</v>
      </c>
      <c r="F8" s="22">
        <f t="shared" si="1"/>
        <v>23000</v>
      </c>
      <c r="I8" s="27"/>
    </row>
    <row r="9" spans="1:9" x14ac:dyDescent="0.55000000000000004">
      <c r="A9" s="39" t="s">
        <v>5</v>
      </c>
      <c r="B9" s="9"/>
      <c r="C9" s="9">
        <v>10000</v>
      </c>
      <c r="D9" s="9">
        <v>10000</v>
      </c>
      <c r="E9" s="9">
        <v>10000</v>
      </c>
      <c r="F9" s="9">
        <v>10000</v>
      </c>
    </row>
    <row r="10" spans="1:9" x14ac:dyDescent="0.55000000000000004">
      <c r="A10" s="41" t="s">
        <v>6</v>
      </c>
      <c r="B10" s="12"/>
      <c r="C10" s="9">
        <v>10000</v>
      </c>
      <c r="D10" s="9">
        <v>10000</v>
      </c>
      <c r="E10" s="9">
        <v>10000</v>
      </c>
      <c r="F10" s="9">
        <v>10000</v>
      </c>
    </row>
    <row r="11" spans="1:9" x14ac:dyDescent="0.55000000000000004">
      <c r="A11" s="41" t="s">
        <v>11</v>
      </c>
      <c r="B11" s="12"/>
      <c r="C11" s="9">
        <v>20000</v>
      </c>
      <c r="D11" s="9">
        <v>20000</v>
      </c>
      <c r="E11" s="9">
        <v>20000</v>
      </c>
      <c r="F11" s="9">
        <v>20000</v>
      </c>
    </row>
    <row r="12" spans="1:9" x14ac:dyDescent="0.55000000000000004">
      <c r="A12" s="42" t="s">
        <v>7</v>
      </c>
      <c r="B12" s="13"/>
      <c r="C12" s="29">
        <f>SUM(C8:C11)</f>
        <v>55000</v>
      </c>
      <c r="D12" s="29">
        <f t="shared" ref="D12:F12" si="2">SUM(D8:D11)</f>
        <v>55000</v>
      </c>
      <c r="E12" s="29">
        <f t="shared" si="2"/>
        <v>60000</v>
      </c>
      <c r="F12" s="29">
        <f t="shared" si="2"/>
        <v>63000</v>
      </c>
    </row>
    <row r="13" spans="1:9" ht="26.25" thickBot="1" x14ac:dyDescent="0.6">
      <c r="A13" s="42" t="s">
        <v>17</v>
      </c>
      <c r="B13" s="44"/>
      <c r="C13" s="46">
        <f>C6-C12</f>
        <v>35000</v>
      </c>
      <c r="D13" s="46">
        <f t="shared" ref="D13:F13" si="3">D6-D12</f>
        <v>35000</v>
      </c>
      <c r="E13" s="46">
        <f t="shared" si="3"/>
        <v>20000</v>
      </c>
      <c r="F13" s="46">
        <f t="shared" si="3"/>
        <v>7000</v>
      </c>
    </row>
    <row r="14" spans="1:9" ht="26.25" thickBot="1" x14ac:dyDescent="0.6">
      <c r="A14" s="43" t="s">
        <v>18</v>
      </c>
      <c r="B14" s="28"/>
      <c r="C14" s="22">
        <f>$I$14*C13</f>
        <v>7000</v>
      </c>
      <c r="D14" s="22">
        <f t="shared" ref="D14:F14" si="4">$I$14*D13</f>
        <v>7000</v>
      </c>
      <c r="E14" s="22">
        <f t="shared" si="4"/>
        <v>4000</v>
      </c>
      <c r="F14" s="22">
        <f t="shared" si="4"/>
        <v>1400</v>
      </c>
      <c r="H14" s="14" t="s">
        <v>8</v>
      </c>
      <c r="I14" s="17">
        <v>0.2</v>
      </c>
    </row>
    <row r="15" spans="1:9" x14ac:dyDescent="0.55000000000000004">
      <c r="A15" s="42" t="s">
        <v>19</v>
      </c>
      <c r="B15" s="44"/>
      <c r="C15" s="46">
        <f>C13-C14</f>
        <v>28000</v>
      </c>
      <c r="D15" s="46">
        <f t="shared" ref="D15:F15" si="5">D13-D14</f>
        <v>28000</v>
      </c>
      <c r="E15" s="46">
        <f t="shared" si="5"/>
        <v>16000</v>
      </c>
      <c r="F15" s="46">
        <f t="shared" si="5"/>
        <v>5600</v>
      </c>
    </row>
    <row r="16" spans="1:9" ht="26.25" thickBot="1" x14ac:dyDescent="0.6">
      <c r="A16" s="43" t="s">
        <v>20</v>
      </c>
      <c r="B16" s="12"/>
      <c r="C16" s="22">
        <f>C15+C11</f>
        <v>48000</v>
      </c>
      <c r="D16" s="22">
        <f t="shared" ref="D16:F16" si="6">D15+D11</f>
        <v>48000</v>
      </c>
      <c r="E16" s="22">
        <f t="shared" si="6"/>
        <v>36000</v>
      </c>
      <c r="F16" s="22">
        <f t="shared" si="6"/>
        <v>25600</v>
      </c>
    </row>
    <row r="17" spans="1:9" ht="26.25" thickBot="1" x14ac:dyDescent="0.6">
      <c r="A17" s="42" t="s">
        <v>31</v>
      </c>
      <c r="B17" s="46">
        <f>-I17</f>
        <v>-100000</v>
      </c>
      <c r="C17" s="45"/>
      <c r="D17" s="45"/>
      <c r="E17" s="45"/>
      <c r="F17" s="46">
        <f>I18</f>
        <v>40000</v>
      </c>
      <c r="H17" s="14" t="s">
        <v>9</v>
      </c>
      <c r="I17" s="18">
        <v>100000</v>
      </c>
    </row>
    <row r="18" spans="1:9" ht="26.25" thickBot="1" x14ac:dyDescent="0.6">
      <c r="A18" s="42" t="s">
        <v>21</v>
      </c>
      <c r="B18" s="46">
        <f>B16+B17</f>
        <v>-100000</v>
      </c>
      <c r="C18" s="46">
        <f t="shared" ref="C18:F18" si="7">C16+C17</f>
        <v>48000</v>
      </c>
      <c r="D18" s="46">
        <f t="shared" si="7"/>
        <v>48000</v>
      </c>
      <c r="E18" s="46">
        <f t="shared" si="7"/>
        <v>36000</v>
      </c>
      <c r="F18" s="46">
        <f t="shared" si="7"/>
        <v>65600</v>
      </c>
      <c r="H18" s="14" t="s">
        <v>15</v>
      </c>
      <c r="I18" s="18">
        <v>40000</v>
      </c>
    </row>
    <row r="19" spans="1:9" ht="26.25" thickBot="1" x14ac:dyDescent="0.6">
      <c r="A19" s="3" t="s">
        <v>22</v>
      </c>
      <c r="B19" s="47">
        <f>B18</f>
        <v>-100000</v>
      </c>
      <c r="C19" s="48">
        <f>B19+C18</f>
        <v>-52000</v>
      </c>
      <c r="D19" s="48">
        <f t="shared" ref="D19:F19" si="8">C19+D18</f>
        <v>-4000</v>
      </c>
      <c r="E19" s="48">
        <f t="shared" si="8"/>
        <v>32000</v>
      </c>
      <c r="F19" s="48">
        <f t="shared" si="8"/>
        <v>97600</v>
      </c>
      <c r="I19"/>
    </row>
    <row r="20" spans="1:9" ht="26.25" thickBot="1" x14ac:dyDescent="0.6">
      <c r="A20" s="4" t="s">
        <v>13</v>
      </c>
      <c r="B20" s="19">
        <v>0</v>
      </c>
      <c r="C20" s="20">
        <v>1</v>
      </c>
      <c r="D20" s="19">
        <v>2</v>
      </c>
      <c r="E20" s="20">
        <v>3</v>
      </c>
      <c r="F20" s="21">
        <v>4</v>
      </c>
      <c r="I20"/>
    </row>
    <row r="21" spans="1:9" ht="26.25" thickBot="1" x14ac:dyDescent="0.6">
      <c r="A21" s="5" t="s">
        <v>12</v>
      </c>
      <c r="B21" s="22">
        <f>B18</f>
        <v>-100000</v>
      </c>
      <c r="C21" s="22">
        <f>C18/(1+$I$21)^C20</f>
        <v>42857.142857142855</v>
      </c>
      <c r="D21" s="22">
        <f t="shared" ref="D21:F21" si="9">D18/(1+$I$21)^D20</f>
        <v>38265.306122448972</v>
      </c>
      <c r="E21" s="22">
        <f t="shared" si="9"/>
        <v>25624.088921282793</v>
      </c>
      <c r="F21" s="22">
        <f t="shared" si="9"/>
        <v>41689.985943356922</v>
      </c>
      <c r="H21" s="14" t="s">
        <v>10</v>
      </c>
      <c r="I21" s="17">
        <v>0.12</v>
      </c>
    </row>
    <row r="22" spans="1:9" ht="26.25" thickBot="1" x14ac:dyDescent="0.6">
      <c r="A22" s="6" t="s">
        <v>23</v>
      </c>
      <c r="B22" s="36">
        <f>B18</f>
        <v>-100000</v>
      </c>
      <c r="C22" s="37">
        <f>B22+C21</f>
        <v>-57142.857142857145</v>
      </c>
      <c r="D22" s="37">
        <f t="shared" ref="D22:F22" si="10">C22+D21</f>
        <v>-18877.551020408173</v>
      </c>
      <c r="E22" s="37">
        <f t="shared" si="10"/>
        <v>6746.5379008746204</v>
      </c>
      <c r="F22" s="51">
        <f t="shared" si="10"/>
        <v>48436.523844231546</v>
      </c>
      <c r="H22" t="s">
        <v>24</v>
      </c>
      <c r="I22"/>
    </row>
    <row r="23" spans="1:9" x14ac:dyDescent="0.55000000000000004">
      <c r="C23" s="7"/>
      <c r="E23" s="7"/>
      <c r="F23" s="7"/>
    </row>
    <row r="24" spans="1:9" x14ac:dyDescent="0.55000000000000004">
      <c r="A24" s="52" t="s">
        <v>36</v>
      </c>
      <c r="B24" s="32">
        <f>-F22*(1.12)^4</f>
        <v>-76215.807999999975</v>
      </c>
      <c r="C24" s="32"/>
      <c r="E24" s="7"/>
      <c r="F24" s="7"/>
    </row>
    <row r="25" spans="1:9" x14ac:dyDescent="0.55000000000000004">
      <c r="A25"/>
      <c r="B25" s="31"/>
      <c r="C25" s="33"/>
    </row>
    <row r="26" spans="1:9" x14ac:dyDescent="0.55000000000000004">
      <c r="A26"/>
      <c r="B26" s="32"/>
      <c r="C26" s="33"/>
    </row>
    <row r="27" spans="1:9" x14ac:dyDescent="0.55000000000000004">
      <c r="A27"/>
      <c r="B27" s="32"/>
      <c r="C27" s="33"/>
    </row>
    <row r="28" spans="1:9" x14ac:dyDescent="0.55000000000000004">
      <c r="A28"/>
      <c r="B28" s="31"/>
      <c r="C28" s="34"/>
    </row>
    <row r="29" spans="1:9" x14ac:dyDescent="0.55000000000000004">
      <c r="A29"/>
      <c r="B29" s="35"/>
      <c r="C29" s="33"/>
    </row>
    <row r="30" spans="1:9" x14ac:dyDescent="0.55000000000000004">
      <c r="A30"/>
      <c r="B30" s="35"/>
      <c r="C30" s="33"/>
    </row>
    <row r="31" spans="1:9" x14ac:dyDescent="0.55000000000000004">
      <c r="B31" s="32"/>
      <c r="C31" s="33"/>
    </row>
  </sheetData>
  <scenarios current="0" show="0">
    <scenario name="2" locked="1" count="1" user="FUJ" comment="Created by FUJ on 08/02/2025">
      <inputCells r="I14" val="0.22" numFmtId="9"/>
    </scenario>
  </scenarios>
  <mergeCells count="2">
    <mergeCell ref="A2:A3"/>
    <mergeCell ref="B2:F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DB8B-E2AC-4609-9DBD-0BED35B11A17}">
  <sheetPr>
    <outlinePr summaryBelow="0"/>
  </sheetPr>
  <dimension ref="B1:G12"/>
  <sheetViews>
    <sheetView showGridLines="0" workbookViewId="0">
      <selection activeCell="J8" sqref="J8"/>
    </sheetView>
  </sheetViews>
  <sheetFormatPr defaultRowHeight="25.5" outlineLevelRow="1" outlineLevelCol="1" x14ac:dyDescent="0.55000000000000004"/>
  <cols>
    <col min="3" max="3" width="5.78125" bestFit="1" customWidth="1"/>
    <col min="4" max="7" width="8.32421875" bestFit="1" customWidth="1" outlineLevel="1"/>
  </cols>
  <sheetData>
    <row r="1" spans="2:7" ht="26.25" thickBot="1" x14ac:dyDescent="0.6"/>
    <row r="2" spans="2:7" ht="27" x14ac:dyDescent="0.6">
      <c r="B2" s="55" t="s">
        <v>43</v>
      </c>
      <c r="C2" s="55"/>
      <c r="D2" s="58"/>
      <c r="E2" s="58"/>
      <c r="F2" s="58"/>
      <c r="G2" s="58"/>
    </row>
    <row r="3" spans="2:7" ht="27" collapsed="1" x14ac:dyDescent="0.6">
      <c r="B3" s="54"/>
      <c r="C3" s="54"/>
      <c r="D3" s="59" t="s">
        <v>45</v>
      </c>
      <c r="E3" s="59" t="s">
        <v>40</v>
      </c>
      <c r="F3" s="59" t="s">
        <v>41</v>
      </c>
      <c r="G3" s="59" t="s">
        <v>42</v>
      </c>
    </row>
    <row r="4" spans="2:7" hidden="1" outlineLevel="1" x14ac:dyDescent="0.55000000000000004">
      <c r="B4" s="67"/>
      <c r="C4" s="67"/>
      <c r="E4" s="70" t="s">
        <v>58</v>
      </c>
      <c r="F4" s="70" t="s">
        <v>58</v>
      </c>
      <c r="G4" s="70" t="s">
        <v>58</v>
      </c>
    </row>
    <row r="5" spans="2:7" x14ac:dyDescent="0.55000000000000004">
      <c r="B5" s="56" t="s">
        <v>44</v>
      </c>
      <c r="C5" s="56"/>
      <c r="D5" s="66"/>
      <c r="E5" s="66"/>
      <c r="F5" s="66"/>
      <c r="G5" s="66"/>
    </row>
    <row r="6" spans="2:7" outlineLevel="1" x14ac:dyDescent="0.55000000000000004">
      <c r="B6" s="67"/>
      <c r="C6" s="67" t="s">
        <v>37</v>
      </c>
      <c r="D6" s="65">
        <v>0.2</v>
      </c>
      <c r="E6" s="68">
        <v>0.25</v>
      </c>
      <c r="F6" s="65">
        <v>0.2</v>
      </c>
      <c r="G6" s="68">
        <v>0.25</v>
      </c>
    </row>
    <row r="7" spans="2:7" outlineLevel="1" x14ac:dyDescent="0.55000000000000004">
      <c r="B7" s="67"/>
      <c r="C7" s="67" t="s">
        <v>38</v>
      </c>
      <c r="D7" s="1">
        <v>40000</v>
      </c>
      <c r="E7" s="1">
        <v>40000</v>
      </c>
      <c r="F7" s="69">
        <v>24000</v>
      </c>
      <c r="G7" s="69">
        <v>24000</v>
      </c>
    </row>
    <row r="8" spans="2:7" x14ac:dyDescent="0.55000000000000004">
      <c r="B8" s="56" t="s">
        <v>46</v>
      </c>
      <c r="C8" s="56"/>
      <c r="D8" s="66"/>
      <c r="E8" s="66"/>
      <c r="F8" s="66"/>
      <c r="G8" s="66"/>
    </row>
    <row r="9" spans="2:7" ht="26.25" outlineLevel="1" thickBot="1" x14ac:dyDescent="0.6">
      <c r="B9" s="57"/>
      <c r="C9" s="57" t="s">
        <v>39</v>
      </c>
      <c r="D9" s="53">
        <v>48436.523844231502</v>
      </c>
      <c r="E9" s="53">
        <v>44544.722983262203</v>
      </c>
      <c r="F9" s="53">
        <v>38268.234589754204</v>
      </c>
      <c r="G9" s="53">
        <v>34376.433728784803</v>
      </c>
    </row>
    <row r="10" spans="2:7" x14ac:dyDescent="0.55000000000000004">
      <c r="B10" t="s">
        <v>47</v>
      </c>
    </row>
    <row r="11" spans="2:7" x14ac:dyDescent="0.55000000000000004">
      <c r="B11" t="s">
        <v>48</v>
      </c>
    </row>
    <row r="12" spans="2:7" x14ac:dyDescent="0.55000000000000004">
      <c r="B1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B1D5-2EE3-4723-A7A9-F57981510E75}">
  <dimension ref="A1:N6"/>
  <sheetViews>
    <sheetView topLeftCell="K1" workbookViewId="0">
      <selection activeCell="L6" sqref="L6"/>
    </sheetView>
  </sheetViews>
  <sheetFormatPr defaultRowHeight="25.5" x14ac:dyDescent="0.55000000000000004"/>
  <cols>
    <col min="1" max="1" width="8.90234375" style="60"/>
    <col min="9" max="9" width="0.23046875" style="61" customWidth="1"/>
    <col min="10" max="10" width="4.85546875" customWidth="1"/>
    <col min="11" max="11" width="22.3203125" customWidth="1"/>
    <col min="12" max="12" width="15.84375" customWidth="1"/>
    <col min="13" max="13" width="33.88671875" customWidth="1"/>
    <col min="14" max="14" width="23.36328125" customWidth="1"/>
  </cols>
  <sheetData>
    <row r="1" spans="11:14" x14ac:dyDescent="0.55000000000000004">
      <c r="K1" s="61" t="s">
        <v>53</v>
      </c>
      <c r="L1" t="s">
        <v>52</v>
      </c>
      <c r="M1" t="s">
        <v>51</v>
      </c>
      <c r="N1" t="s">
        <v>50</v>
      </c>
    </row>
    <row r="2" spans="11:14" ht="26.25" thickBot="1" x14ac:dyDescent="0.6">
      <c r="K2" s="63">
        <f>70%*60%</f>
        <v>0.42</v>
      </c>
      <c r="L2" s="53">
        <f>'Scenario Summary'!D9</f>
        <v>48436.523844231502</v>
      </c>
      <c r="M2" t="s">
        <v>54</v>
      </c>
      <c r="N2">
        <v>1</v>
      </c>
    </row>
    <row r="3" spans="11:14" ht="26.25" thickBot="1" x14ac:dyDescent="0.6">
      <c r="K3" s="63">
        <f>30%*60%</f>
        <v>0.18</v>
      </c>
      <c r="L3" s="53">
        <f>'Scenario Summary'!E9</f>
        <v>44544.722983262203</v>
      </c>
      <c r="M3" t="s">
        <v>55</v>
      </c>
      <c r="N3">
        <v>2</v>
      </c>
    </row>
    <row r="4" spans="11:14" ht="26.25" thickBot="1" x14ac:dyDescent="0.6">
      <c r="K4" s="63">
        <f>70%*40%</f>
        <v>0.27999999999999997</v>
      </c>
      <c r="L4" s="53">
        <f>'Scenario Summary'!F9</f>
        <v>38268.234589754204</v>
      </c>
      <c r="M4" t="s">
        <v>56</v>
      </c>
      <c r="N4">
        <v>3</v>
      </c>
    </row>
    <row r="5" spans="11:14" ht="26.25" thickBot="1" x14ac:dyDescent="0.6">
      <c r="K5" s="63">
        <f>30%*40%</f>
        <v>0.12</v>
      </c>
      <c r="L5" s="53">
        <f>'Scenario Summary'!G9</f>
        <v>34376.433728784803</v>
      </c>
      <c r="M5" t="s">
        <v>55</v>
      </c>
      <c r="N5">
        <v>4</v>
      </c>
    </row>
    <row r="6" spans="11:14" x14ac:dyDescent="0.55000000000000004">
      <c r="K6" s="64">
        <f>SUMPRODUCT(L2:L5,K2:K5)</f>
        <v>43201.667884149778</v>
      </c>
      <c r="M6" s="6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B537-20BF-428C-8C4D-5E6099961149}">
  <dimension ref="A2:G34"/>
  <sheetViews>
    <sheetView rightToLeft="1" zoomScaleSheetLayoutView="100" workbookViewId="0">
      <selection activeCell="D30" sqref="D30"/>
    </sheetView>
  </sheetViews>
  <sheetFormatPr defaultColWidth="5.8984375" defaultRowHeight="13.5" customHeight="1" x14ac:dyDescent="0.2"/>
  <cols>
    <col min="1" max="1" width="7.86328125" style="71" customWidth="1"/>
    <col min="2" max="2" width="14.5703125" style="71" customWidth="1"/>
    <col min="3" max="3" width="10.87109375" style="71" customWidth="1"/>
    <col min="4" max="4" width="10.5234375" style="71" customWidth="1"/>
    <col min="5" max="5" width="9.9453125" style="71" customWidth="1"/>
    <col min="6" max="6" width="16.19140625" style="71" customWidth="1"/>
    <col min="7" max="7" width="8.44140625" style="71" customWidth="1"/>
    <col min="8" max="9" width="5.8984375" style="71" customWidth="1"/>
    <col min="10" max="10" width="6.359375" style="71" customWidth="1"/>
    <col min="11" max="11" width="5.8984375" style="71" customWidth="1"/>
    <col min="12" max="16384" width="5.8984375" style="71"/>
  </cols>
  <sheetData>
    <row r="2" spans="1:7" ht="13.5" customHeight="1" x14ac:dyDescent="0.2">
      <c r="C2" s="71" t="s">
        <v>59</v>
      </c>
      <c r="D2" s="71" t="s">
        <v>60</v>
      </c>
    </row>
    <row r="3" spans="1:7" ht="15" x14ac:dyDescent="0.2">
      <c r="A3" s="71">
        <v>1</v>
      </c>
      <c r="B3" s="71" t="s">
        <v>61</v>
      </c>
      <c r="C3" s="71">
        <f>2823641063</f>
        <v>2823641063</v>
      </c>
      <c r="D3" s="71">
        <f>2934757070</f>
        <v>2934757070</v>
      </c>
      <c r="F3" s="72" t="s">
        <v>62</v>
      </c>
      <c r="G3" s="72">
        <f>12%</f>
        <v>0.12</v>
      </c>
    </row>
    <row r="4" spans="1:7" ht="15" x14ac:dyDescent="0.2">
      <c r="A4" s="71">
        <v>2</v>
      </c>
      <c r="B4" s="71" t="s">
        <v>63</v>
      </c>
      <c r="C4" s="71">
        <f>2934757070</f>
        <v>2934757070</v>
      </c>
      <c r="D4" s="71">
        <f>2929844868</f>
        <v>2929844868</v>
      </c>
    </row>
    <row r="5" spans="1:7" ht="15" x14ac:dyDescent="0.2">
      <c r="A5" s="71">
        <v>3</v>
      </c>
      <c r="B5" s="71" t="s">
        <v>64</v>
      </c>
      <c r="C5" s="71">
        <f>1868043822</f>
        <v>1868043822</v>
      </c>
      <c r="D5" s="71">
        <f>2056499838</f>
        <v>2056499838</v>
      </c>
      <c r="F5" s="72" t="s">
        <v>65</v>
      </c>
      <c r="G5" s="72">
        <f>8%</f>
        <v>0.08</v>
      </c>
    </row>
    <row r="6" spans="1:7" ht="15" x14ac:dyDescent="0.2">
      <c r="A6" s="71">
        <v>4</v>
      </c>
      <c r="B6" s="71" t="s">
        <v>66</v>
      </c>
      <c r="C6" s="71">
        <f>2088019657</f>
        <v>2088019657</v>
      </c>
      <c r="D6" s="71">
        <f>2008470035</f>
        <v>2008470035</v>
      </c>
    </row>
    <row r="7" spans="1:7" ht="15" x14ac:dyDescent="0.2">
      <c r="A7" s="71">
        <v>5</v>
      </c>
      <c r="B7" s="71" t="s">
        <v>67</v>
      </c>
      <c r="C7" s="71">
        <f>1332923972</f>
        <v>1332923972</v>
      </c>
      <c r="D7" s="71">
        <f>1518606527</f>
        <v>1518606527</v>
      </c>
      <c r="F7" s="72" t="s">
        <v>68</v>
      </c>
      <c r="G7" s="72">
        <f>20%</f>
        <v>0.2</v>
      </c>
    </row>
    <row r="8" spans="1:7" ht="15" x14ac:dyDescent="0.2">
      <c r="A8" s="71">
        <v>6</v>
      </c>
      <c r="B8" s="71" t="s">
        <v>69</v>
      </c>
      <c r="C8" s="71">
        <f>509251728/2</f>
        <v>254625864</v>
      </c>
      <c r="D8" s="71">
        <f>521134570/2</f>
        <v>260567285</v>
      </c>
      <c r="F8" s="72" t="s">
        <v>70</v>
      </c>
      <c r="G8" s="72">
        <f>80%</f>
        <v>0.8</v>
      </c>
    </row>
    <row r="9" spans="1:7" ht="15" x14ac:dyDescent="0.2">
      <c r="A9" s="71">
        <v>7</v>
      </c>
      <c r="B9" s="71" t="s">
        <v>71</v>
      </c>
      <c r="C9" s="71">
        <f>0</f>
        <v>0</v>
      </c>
      <c r="D9" s="71">
        <f>0</f>
        <v>0</v>
      </c>
    </row>
    <row r="10" spans="1:7" ht="15" x14ac:dyDescent="0.2">
      <c r="A10" s="71">
        <v>8</v>
      </c>
      <c r="B10" s="71" t="s">
        <v>72</v>
      </c>
      <c r="C10" s="71">
        <f>150063169</f>
        <v>150063169</v>
      </c>
      <c r="D10" s="71">
        <f>292830775</f>
        <v>292830775</v>
      </c>
    </row>
    <row r="11" spans="1:7" ht="15" x14ac:dyDescent="0.2">
      <c r="A11" s="71">
        <v>9</v>
      </c>
      <c r="B11" s="71" t="s">
        <v>73</v>
      </c>
      <c r="C11" s="71">
        <f>150996206</f>
        <v>150996206</v>
      </c>
      <c r="D11" s="71">
        <f>354268886</f>
        <v>354268886</v>
      </c>
      <c r="F11" s="73" t="s">
        <v>74</v>
      </c>
      <c r="G11" s="73">
        <f>537080041</f>
        <v>537080041</v>
      </c>
    </row>
    <row r="12" spans="1:7" ht="15" x14ac:dyDescent="0.2">
      <c r="A12" s="71">
        <v>10</v>
      </c>
      <c r="B12" s="71" t="s">
        <v>75</v>
      </c>
      <c r="C12" s="71">
        <f>161551288+276211946</f>
        <v>437763234</v>
      </c>
      <c r="D12" s="71">
        <f>162239379+285090168</f>
        <v>447329547</v>
      </c>
    </row>
    <row r="13" spans="1:7" ht="15" x14ac:dyDescent="0.2">
      <c r="A13" s="71">
        <v>11</v>
      </c>
      <c r="B13" s="71" t="s">
        <v>76</v>
      </c>
      <c r="C13" s="71">
        <v>3420943629</v>
      </c>
      <c r="D13" s="71">
        <f>3527076562</f>
        <v>3527076562</v>
      </c>
    </row>
    <row r="14" spans="1:7" ht="15" x14ac:dyDescent="0.2">
      <c r="A14" s="71">
        <v>12</v>
      </c>
      <c r="B14" s="71" t="s">
        <v>77</v>
      </c>
      <c r="C14" s="71">
        <v>114300000</v>
      </c>
      <c r="D14" s="71">
        <f>1143000000</f>
        <v>1143000000</v>
      </c>
    </row>
    <row r="15" spans="1:7" ht="15" x14ac:dyDescent="0.2">
      <c r="A15" s="71">
        <v>13</v>
      </c>
      <c r="B15" s="71" t="s">
        <v>78</v>
      </c>
      <c r="C15" s="74">
        <f>C5-C8</f>
        <v>1613417958</v>
      </c>
      <c r="D15" s="71">
        <f>D5-D8</f>
        <v>1795932553</v>
      </c>
    </row>
    <row r="16" spans="1:7" ht="15" x14ac:dyDescent="0.2">
      <c r="A16" s="71">
        <v>14</v>
      </c>
      <c r="B16" s="71" t="s">
        <v>79</v>
      </c>
      <c r="C16" s="71">
        <f>C7-C9</f>
        <v>1332923972</v>
      </c>
      <c r="D16" s="71">
        <f>D7-D9</f>
        <v>1518606527</v>
      </c>
    </row>
    <row r="17" spans="1:4" ht="15" x14ac:dyDescent="0.2">
      <c r="A17" s="71">
        <v>15</v>
      </c>
      <c r="B17" s="71" t="s">
        <v>80</v>
      </c>
      <c r="C17" s="71">
        <f>C5-C7</f>
        <v>535119850</v>
      </c>
      <c r="D17" s="71">
        <f>D5-D7</f>
        <v>537893311</v>
      </c>
    </row>
    <row r="18" spans="1:4" ht="15" x14ac:dyDescent="0.2">
      <c r="A18" s="71">
        <v>16</v>
      </c>
      <c r="B18" s="75" t="s">
        <v>81</v>
      </c>
      <c r="C18" s="75">
        <f>C15-C16</f>
        <v>280493986</v>
      </c>
      <c r="D18" s="75">
        <f>D15-D16</f>
        <v>277326026</v>
      </c>
    </row>
    <row r="19" spans="1:4" ht="15" x14ac:dyDescent="0.2">
      <c r="A19" s="71">
        <v>17</v>
      </c>
      <c r="B19" s="71" t="s">
        <v>82</v>
      </c>
      <c r="C19" s="71">
        <f>C4+C5</f>
        <v>4802800892</v>
      </c>
      <c r="D19" s="71">
        <f>D4+D5</f>
        <v>4986344706</v>
      </c>
    </row>
    <row r="20" spans="1:4" ht="15" x14ac:dyDescent="0.2">
      <c r="A20" s="71">
        <v>18</v>
      </c>
      <c r="B20" s="71" t="s">
        <v>83</v>
      </c>
      <c r="C20" s="71">
        <f>C19-C13</f>
        <v>1381857263</v>
      </c>
      <c r="D20" s="71">
        <f>D19-D13</f>
        <v>1459268144</v>
      </c>
    </row>
    <row r="21" spans="1:4" ht="15" x14ac:dyDescent="0.2">
      <c r="A21" s="71">
        <v>19</v>
      </c>
      <c r="B21" s="75" t="s">
        <v>84</v>
      </c>
      <c r="C21" s="75">
        <f>C11*(1-G7)+C12</f>
        <v>558560198.79999995</v>
      </c>
      <c r="D21" s="75">
        <f>D11*(1-G7)+D12</f>
        <v>730744655.79999995</v>
      </c>
    </row>
    <row r="22" spans="1:4" ht="15" x14ac:dyDescent="0.2">
      <c r="A22" s="71">
        <v>20</v>
      </c>
      <c r="B22" s="75" t="s">
        <v>85</v>
      </c>
      <c r="C22" s="75">
        <f>C4-C3</f>
        <v>111116007</v>
      </c>
      <c r="D22" s="75">
        <f>D4-D3</f>
        <v>-4912202</v>
      </c>
    </row>
    <row r="23" spans="1:4" ht="15" x14ac:dyDescent="0.2">
      <c r="A23" s="71">
        <v>21</v>
      </c>
      <c r="B23" s="75" t="s">
        <v>86</v>
      </c>
      <c r="C23" s="75">
        <f>C18-G11</f>
        <v>-256586055</v>
      </c>
      <c r="D23" s="75">
        <f>D18-C18</f>
        <v>-3167960</v>
      </c>
    </row>
    <row r="24" spans="1:4" ht="15" x14ac:dyDescent="0.2">
      <c r="A24" s="71">
        <v>22</v>
      </c>
    </row>
    <row r="25" spans="1:4" ht="15" x14ac:dyDescent="0.2">
      <c r="A25" s="71">
        <v>23</v>
      </c>
      <c r="B25" s="71" t="s">
        <v>87</v>
      </c>
      <c r="C25" s="71">
        <f>C21-C22-(C23)</f>
        <v>704030246.79999995</v>
      </c>
      <c r="D25" s="71">
        <f>D21-(D22)-(D23)</f>
        <v>738824817.79999995</v>
      </c>
    </row>
    <row r="26" spans="1:4" ht="15" x14ac:dyDescent="0.2">
      <c r="A26" s="71">
        <v>24</v>
      </c>
      <c r="B26" s="71" t="s">
        <v>88</v>
      </c>
      <c r="C26" s="71">
        <f>C25*(1+G5)/G3-G5</f>
        <v>6336272221.1200008</v>
      </c>
      <c r="D26" s="71">
        <f>D25*(1+G5)/G3-G5</f>
        <v>6649423360.1199999</v>
      </c>
    </row>
    <row r="27" spans="1:4" ht="15" x14ac:dyDescent="0.2">
      <c r="A27" s="71">
        <v>25</v>
      </c>
      <c r="B27" s="71" t="s">
        <v>89</v>
      </c>
      <c r="C27" s="71">
        <f>C26+C8</f>
        <v>6590898085.1200008</v>
      </c>
      <c r="D27" s="71">
        <f>D26+D8</f>
        <v>6909990645.1199999</v>
      </c>
    </row>
    <row r="28" spans="1:4" ht="15" x14ac:dyDescent="0.2">
      <c r="A28" s="71">
        <v>26</v>
      </c>
      <c r="B28" s="71" t="s">
        <v>90</v>
      </c>
      <c r="C28" s="71">
        <f>C27-C6</f>
        <v>4502878428.1200008</v>
      </c>
      <c r="D28" s="71">
        <f>D27-D6</f>
        <v>4901520610.1199999</v>
      </c>
    </row>
    <row r="29" spans="1:4" ht="15" x14ac:dyDescent="0.2">
      <c r="A29" s="71">
        <v>27</v>
      </c>
      <c r="B29" s="71" t="s">
        <v>91</v>
      </c>
      <c r="C29" s="71">
        <f>C28/C14</f>
        <v>39.395261838320216</v>
      </c>
      <c r="D29" s="71">
        <f>D28/D14</f>
        <v>4.2882944970428696</v>
      </c>
    </row>
    <row r="30" spans="1:4" ht="15" x14ac:dyDescent="0.2">
      <c r="A30" s="71">
        <v>28</v>
      </c>
      <c r="B30" s="71" t="s">
        <v>92</v>
      </c>
      <c r="C30" s="71">
        <f>C28-C20</f>
        <v>3121021165.1200008</v>
      </c>
      <c r="D30" s="71">
        <f>D28-D20</f>
        <v>3442252466.1199999</v>
      </c>
    </row>
    <row r="31" spans="1:4" ht="15" x14ac:dyDescent="0.2">
      <c r="A31" s="71">
        <v>29</v>
      </c>
    </row>
    <row r="32" spans="1:4" ht="15" x14ac:dyDescent="0.2">
      <c r="A32" s="71">
        <v>30</v>
      </c>
    </row>
    <row r="33" spans="1:1" ht="15" x14ac:dyDescent="0.2">
      <c r="A33" s="71">
        <v>31</v>
      </c>
    </row>
    <row r="34" spans="1:1" ht="15" x14ac:dyDescent="0.2">
      <c r="A34" s="71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AE1A-5A63-430C-AA7D-DB1861C9C0AA}">
  <dimension ref="A2:G30"/>
  <sheetViews>
    <sheetView rightToLeft="1" zoomScaleSheetLayoutView="100" workbookViewId="0">
      <selection activeCell="B31" sqref="B31"/>
    </sheetView>
  </sheetViews>
  <sheetFormatPr defaultColWidth="6.01171875" defaultRowHeight="13.5" customHeight="1" x14ac:dyDescent="0.2"/>
  <cols>
    <col min="1" max="1" width="6.01171875" style="71" customWidth="1"/>
    <col min="2" max="2" width="14.33984375" style="71" customWidth="1"/>
    <col min="3" max="3" width="10.640625" style="71" customWidth="1"/>
    <col min="4" max="4" width="8.7890625" style="71" customWidth="1"/>
    <col min="5" max="5" width="6.01171875" style="71" customWidth="1"/>
    <col min="6" max="6" width="16.88671875" style="71" customWidth="1"/>
    <col min="7" max="7" width="8.09375" style="71" customWidth="1"/>
    <col min="8" max="8" width="6.01171875" style="71" customWidth="1"/>
    <col min="9" max="16384" width="6.01171875" style="71"/>
  </cols>
  <sheetData>
    <row r="2" spans="1:7" ht="13.5" customHeight="1" x14ac:dyDescent="0.2">
      <c r="C2" s="71" t="s">
        <v>93</v>
      </c>
      <c r="D2" s="71" t="s">
        <v>94</v>
      </c>
    </row>
    <row r="3" spans="1:7" ht="15" x14ac:dyDescent="0.2">
      <c r="A3" s="71">
        <v>1</v>
      </c>
      <c r="B3" s="71" t="s">
        <v>61</v>
      </c>
      <c r="C3" s="71">
        <f>155534877</f>
        <v>155534877</v>
      </c>
      <c r="D3" s="71">
        <f>530657380</f>
        <v>530657380</v>
      </c>
      <c r="F3" s="72" t="s">
        <v>62</v>
      </c>
      <c r="G3" s="72">
        <f>12%</f>
        <v>0.12</v>
      </c>
    </row>
    <row r="4" spans="1:7" ht="15" x14ac:dyDescent="0.2">
      <c r="A4" s="71">
        <v>2</v>
      </c>
      <c r="B4" s="71" t="s">
        <v>63</v>
      </c>
      <c r="C4" s="71">
        <f>530657380</f>
        <v>530657380</v>
      </c>
      <c r="D4" s="71">
        <f>544144483</f>
        <v>544144483</v>
      </c>
    </row>
    <row r="5" spans="1:7" ht="15" x14ac:dyDescent="0.2">
      <c r="A5" s="71">
        <v>3</v>
      </c>
      <c r="B5" s="71" t="s">
        <v>64</v>
      </c>
      <c r="C5" s="71">
        <f>63972851</f>
        <v>63972851</v>
      </c>
      <c r="D5" s="71">
        <f>72973458</f>
        <v>72973458</v>
      </c>
      <c r="F5" s="72" t="s">
        <v>65</v>
      </c>
      <c r="G5" s="72">
        <f>8%</f>
        <v>0.08</v>
      </c>
    </row>
    <row r="6" spans="1:7" ht="15" x14ac:dyDescent="0.2">
      <c r="A6" s="71">
        <v>4</v>
      </c>
      <c r="B6" s="71" t="s">
        <v>66</v>
      </c>
      <c r="C6" s="71">
        <f>6930883</f>
        <v>6930883</v>
      </c>
      <c r="D6" s="71">
        <f>132680405</f>
        <v>132680405</v>
      </c>
    </row>
    <row r="7" spans="1:7" ht="15" x14ac:dyDescent="0.2">
      <c r="A7" s="71">
        <v>5</v>
      </c>
      <c r="B7" s="71" t="s">
        <v>67</v>
      </c>
      <c r="C7" s="71">
        <f>306239844</f>
        <v>306239844</v>
      </c>
      <c r="D7" s="71">
        <f>189814730</f>
        <v>189814730</v>
      </c>
      <c r="F7" s="72" t="s">
        <v>68</v>
      </c>
      <c r="G7" s="72">
        <f>20%</f>
        <v>0.2</v>
      </c>
    </row>
    <row r="8" spans="1:7" ht="15" x14ac:dyDescent="0.2">
      <c r="A8" s="71">
        <v>6</v>
      </c>
      <c r="B8" s="71" t="s">
        <v>122</v>
      </c>
      <c r="C8" s="71">
        <v>44033654</v>
      </c>
      <c r="D8" s="71">
        <v>8109803</v>
      </c>
      <c r="F8" s="72" t="s">
        <v>70</v>
      </c>
      <c r="G8" s="72">
        <f>80%</f>
        <v>0.8</v>
      </c>
    </row>
    <row r="9" spans="1:7" ht="15" x14ac:dyDescent="0.2">
      <c r="A9" s="71">
        <v>7</v>
      </c>
      <c r="B9" s="71" t="s">
        <v>71</v>
      </c>
      <c r="C9" s="71">
        <f>0</f>
        <v>0</v>
      </c>
      <c r="D9" s="71">
        <f>0</f>
        <v>0</v>
      </c>
    </row>
    <row r="10" spans="1:7" ht="15" x14ac:dyDescent="0.2">
      <c r="A10" s="71">
        <v>8</v>
      </c>
      <c r="B10" s="71" t="s">
        <v>95</v>
      </c>
      <c r="C10" s="71">
        <f>(29227181)</f>
        <v>29227181</v>
      </c>
      <c r="D10" s="71">
        <f>16141736</f>
        <v>16141736</v>
      </c>
    </row>
    <row r="11" spans="1:7" ht="15" x14ac:dyDescent="0.2">
      <c r="A11" s="71">
        <v>9</v>
      </c>
      <c r="B11" s="71" t="s">
        <v>75</v>
      </c>
      <c r="C11" s="71">
        <f>3983744+C12</f>
        <v>4487504</v>
      </c>
      <c r="D11" s="71">
        <f>3984192+27457+D12</f>
        <v>4213191</v>
      </c>
      <c r="F11" s="76" t="s">
        <v>96</v>
      </c>
      <c r="G11" s="76">
        <f>-85631182.5</f>
        <v>-85631182.5</v>
      </c>
    </row>
    <row r="12" spans="1:7" ht="15" x14ac:dyDescent="0.2">
      <c r="A12" s="71">
        <v>10</v>
      </c>
      <c r="B12" s="71" t="s">
        <v>97</v>
      </c>
      <c r="C12" s="71">
        <f>503760</f>
        <v>503760</v>
      </c>
      <c r="D12" s="71">
        <f>201542</f>
        <v>201542</v>
      </c>
    </row>
    <row r="13" spans="1:7" ht="15" x14ac:dyDescent="0.2">
      <c r="A13" s="71">
        <v>11</v>
      </c>
      <c r="B13" s="71" t="s">
        <v>76</v>
      </c>
      <c r="C13" s="71">
        <f>313170727</f>
        <v>313170727</v>
      </c>
      <c r="D13" s="71">
        <f>322495135</f>
        <v>322495135</v>
      </c>
    </row>
    <row r="14" spans="1:7" ht="15" x14ac:dyDescent="0.2">
      <c r="A14" s="71">
        <v>12</v>
      </c>
      <c r="B14" s="71" t="s">
        <v>77</v>
      </c>
      <c r="C14" s="71">
        <f>31500000</f>
        <v>31500000</v>
      </c>
      <c r="D14" s="71">
        <f>31500000</f>
        <v>31500000</v>
      </c>
    </row>
    <row r="15" spans="1:7" ht="15" x14ac:dyDescent="0.2">
      <c r="A15" s="71">
        <v>13</v>
      </c>
      <c r="B15" s="71" t="s">
        <v>78</v>
      </c>
      <c r="C15" s="71">
        <f>C5-C8</f>
        <v>19939197</v>
      </c>
      <c r="D15" s="71">
        <f>D5-D8</f>
        <v>64863655</v>
      </c>
    </row>
    <row r="16" spans="1:7" ht="15" x14ac:dyDescent="0.2">
      <c r="A16" s="71">
        <v>14</v>
      </c>
      <c r="B16" s="71" t="s">
        <v>79</v>
      </c>
      <c r="C16" s="71">
        <f>C7-C9</f>
        <v>306239844</v>
      </c>
      <c r="D16" s="71">
        <f>D7-D9</f>
        <v>189814730</v>
      </c>
    </row>
    <row r="17" spans="1:4" ht="15" x14ac:dyDescent="0.2">
      <c r="A17" s="71">
        <v>15</v>
      </c>
      <c r="B17" s="71" t="s">
        <v>80</v>
      </c>
      <c r="C17" s="71">
        <f>C5-C7</f>
        <v>-242266993</v>
      </c>
      <c r="D17" s="71">
        <f>D5-D7</f>
        <v>-116841272</v>
      </c>
    </row>
    <row r="18" spans="1:4" ht="15" x14ac:dyDescent="0.2">
      <c r="A18" s="71">
        <v>16</v>
      </c>
      <c r="B18" s="75" t="s">
        <v>81</v>
      </c>
      <c r="C18" s="71">
        <f>C15-C16</f>
        <v>-286300647</v>
      </c>
      <c r="D18" s="71">
        <f>D15-D16</f>
        <v>-124951075</v>
      </c>
    </row>
    <row r="19" spans="1:4" ht="15" x14ac:dyDescent="0.2">
      <c r="A19" s="71">
        <v>17</v>
      </c>
      <c r="B19" s="71" t="s">
        <v>98</v>
      </c>
      <c r="C19" s="71">
        <f>C4+C5</f>
        <v>594630231</v>
      </c>
      <c r="D19" s="71">
        <f>D4+D5</f>
        <v>617117941</v>
      </c>
    </row>
    <row r="20" spans="1:4" ht="15" x14ac:dyDescent="0.2">
      <c r="A20" s="71">
        <v>18</v>
      </c>
      <c r="B20" s="71" t="s">
        <v>99</v>
      </c>
      <c r="C20" s="71">
        <f>C19-C13</f>
        <v>281459504</v>
      </c>
      <c r="D20" s="71">
        <f>D19-D13</f>
        <v>294622806</v>
      </c>
    </row>
    <row r="21" spans="1:4" ht="15" x14ac:dyDescent="0.2">
      <c r="A21" s="71">
        <v>19</v>
      </c>
      <c r="B21" s="75" t="s">
        <v>84</v>
      </c>
      <c r="C21" s="71">
        <f>C10*(1-G7)+C11</f>
        <v>27869248.800000001</v>
      </c>
      <c r="D21" s="71">
        <f>D10*(1-G7)+D11</f>
        <v>17126579.800000001</v>
      </c>
    </row>
    <row r="22" spans="1:4" ht="15" x14ac:dyDescent="0.2">
      <c r="A22" s="71">
        <v>20</v>
      </c>
      <c r="B22" s="75" t="s">
        <v>85</v>
      </c>
      <c r="C22" s="71">
        <f>C4-C3</f>
        <v>375122503</v>
      </c>
      <c r="D22" s="71">
        <f>D4-D3</f>
        <v>13487103</v>
      </c>
    </row>
    <row r="23" spans="1:4" ht="15" x14ac:dyDescent="0.2">
      <c r="A23" s="71">
        <v>21</v>
      </c>
      <c r="B23" s="75" t="s">
        <v>86</v>
      </c>
      <c r="C23" s="71">
        <f>C18-(G11)</f>
        <v>-200669464.5</v>
      </c>
      <c r="D23" s="71">
        <f>D18-(C18)</f>
        <v>161349572</v>
      </c>
    </row>
    <row r="24" spans="1:4" ht="15" x14ac:dyDescent="0.2">
      <c r="A24" s="71">
        <v>22</v>
      </c>
    </row>
    <row r="25" spans="1:4" ht="15" x14ac:dyDescent="0.2">
      <c r="A25" s="71">
        <v>23</v>
      </c>
      <c r="B25" s="71" t="s">
        <v>87</v>
      </c>
      <c r="C25" s="71">
        <f>C21-C22-(C23)</f>
        <v>-146583789.69999999</v>
      </c>
      <c r="D25" s="71">
        <f>D21-D22-D23</f>
        <v>-157710095.19999999</v>
      </c>
    </row>
    <row r="26" spans="1:4" ht="15" x14ac:dyDescent="0.2">
      <c r="B26" s="71" t="s">
        <v>88</v>
      </c>
      <c r="C26" s="71">
        <f>C25*(1+G5)/G3-G5</f>
        <v>-1319254107.3799999</v>
      </c>
      <c r="D26" s="71">
        <f>D25*(1+G5)/G3-G5</f>
        <v>-1419390856.8799999</v>
      </c>
    </row>
    <row r="27" spans="1:4" ht="15" x14ac:dyDescent="0.2">
      <c r="B27" s="71" t="s">
        <v>89</v>
      </c>
      <c r="C27" s="71">
        <f>C26+C8</f>
        <v>-1275220453.3799999</v>
      </c>
      <c r="D27" s="71">
        <f>D26+D8</f>
        <v>-1411281053.8799999</v>
      </c>
    </row>
    <row r="28" spans="1:4" ht="15" x14ac:dyDescent="0.2">
      <c r="B28" s="71" t="s">
        <v>90</v>
      </c>
      <c r="C28" s="71">
        <f>C27-C6</f>
        <v>-1282151336.3799999</v>
      </c>
      <c r="D28" s="71">
        <f>D27-D6</f>
        <v>-1543961458.8799999</v>
      </c>
    </row>
    <row r="29" spans="1:4" ht="15" x14ac:dyDescent="0.2">
      <c r="B29" s="71" t="s">
        <v>91</v>
      </c>
      <c r="C29" s="71">
        <f>C28/C14</f>
        <v>-40.703217027936503</v>
      </c>
      <c r="D29" s="71">
        <f>D28/D14</f>
        <v>-49.014649488253966</v>
      </c>
    </row>
    <row r="30" spans="1:4" ht="15" x14ac:dyDescent="0.2">
      <c r="B30" s="71" t="s">
        <v>92</v>
      </c>
      <c r="C30" s="71">
        <f>C28-C20</f>
        <v>-1563610840.3799999</v>
      </c>
      <c r="D30" s="71">
        <f>D28-D20</f>
        <v>-1838584264.8799999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6DC5-74BA-4CC7-9613-018BF4334FB8}">
  <dimension ref="A1:C23"/>
  <sheetViews>
    <sheetView rightToLeft="1" workbookViewId="0">
      <selection activeCell="A24" sqref="A24"/>
    </sheetView>
  </sheetViews>
  <sheetFormatPr defaultColWidth="5.3203125" defaultRowHeight="15" customHeight="1" x14ac:dyDescent="0.2"/>
  <cols>
    <col min="1" max="1" width="18.38671875" style="77" bestFit="1" customWidth="1"/>
    <col min="2" max="3" width="12.953125" style="77" bestFit="1" customWidth="1"/>
    <col min="4" max="4" width="5.3203125" style="77" customWidth="1"/>
    <col min="5" max="16384" width="5.3203125" style="77"/>
  </cols>
  <sheetData>
    <row r="1" spans="1:3" ht="15" customHeight="1" x14ac:dyDescent="0.2">
      <c r="A1" s="77" t="s">
        <v>100</v>
      </c>
      <c r="B1" s="77">
        <v>2022</v>
      </c>
      <c r="C1" s="77">
        <v>2023</v>
      </c>
    </row>
    <row r="2" spans="1:3" x14ac:dyDescent="0.2">
      <c r="A2" s="77" t="s">
        <v>101</v>
      </c>
      <c r="B2" s="78">
        <v>1875277707</v>
      </c>
      <c r="C2" s="78">
        <v>2056499838</v>
      </c>
    </row>
    <row r="3" spans="1:3" x14ac:dyDescent="0.2">
      <c r="A3" s="77" t="s">
        <v>102</v>
      </c>
      <c r="B3" s="78">
        <v>1332923972</v>
      </c>
      <c r="C3" s="78">
        <v>1518606527</v>
      </c>
    </row>
    <row r="4" spans="1:3" x14ac:dyDescent="0.2">
      <c r="A4" s="77" t="s">
        <v>103</v>
      </c>
      <c r="B4" s="78">
        <v>509251728</v>
      </c>
      <c r="C4" s="78">
        <v>521134570</v>
      </c>
    </row>
    <row r="5" spans="1:3" x14ac:dyDescent="0.2">
      <c r="A5" s="77" t="s">
        <v>104</v>
      </c>
      <c r="B5" s="78">
        <v>280325927</v>
      </c>
      <c r="C5" s="78">
        <v>413518214</v>
      </c>
    </row>
    <row r="6" spans="1:3" x14ac:dyDescent="0.2">
      <c r="A6" s="77" t="s">
        <v>105</v>
      </c>
      <c r="B6" s="78">
        <v>756567701</v>
      </c>
      <c r="C6" s="78">
        <v>874453040</v>
      </c>
    </row>
    <row r="7" spans="1:3" x14ac:dyDescent="0.2">
      <c r="A7" s="77" t="s">
        <v>106</v>
      </c>
      <c r="B7" s="78">
        <v>877334562</v>
      </c>
      <c r="C7" s="78">
        <v>949454337</v>
      </c>
    </row>
    <row r="8" spans="1:3" x14ac:dyDescent="0.2">
      <c r="A8" s="77" t="s">
        <v>107</v>
      </c>
      <c r="B8" s="78">
        <v>3459955754</v>
      </c>
      <c r="C8" s="78">
        <v>3793140541</v>
      </c>
    </row>
    <row r="9" spans="1:3" x14ac:dyDescent="0.2">
      <c r="A9" s="77" t="s">
        <v>108</v>
      </c>
      <c r="B9" s="78">
        <f>B8/365</f>
        <v>9479330.8328767121</v>
      </c>
      <c r="C9" s="78">
        <f>C8/365</f>
        <v>10392165.865753425</v>
      </c>
    </row>
    <row r="10" spans="1:3" x14ac:dyDescent="0.2">
      <c r="A10" s="77" t="s">
        <v>109</v>
      </c>
      <c r="B10" s="78">
        <v>4897027199</v>
      </c>
      <c r="C10" s="78">
        <v>5602927544</v>
      </c>
    </row>
    <row r="11" spans="1:3" x14ac:dyDescent="0.2">
      <c r="A11" s="77" t="s">
        <v>110</v>
      </c>
      <c r="B11" s="78">
        <f>B10/365</f>
        <v>13416512.873972602</v>
      </c>
      <c r="C11" s="78">
        <f>C10/365</f>
        <v>15350486.421917807</v>
      </c>
    </row>
    <row r="12" spans="1:3" x14ac:dyDescent="0.2">
      <c r="A12" s="77" t="s">
        <v>111</v>
      </c>
      <c r="B12" s="78">
        <f>B10/365</f>
        <v>13416512.873972602</v>
      </c>
      <c r="C12" s="78">
        <f>C10/365</f>
        <v>15350486.421917807</v>
      </c>
    </row>
    <row r="13" spans="1:3" x14ac:dyDescent="0.2">
      <c r="A13" s="77" t="s">
        <v>112</v>
      </c>
      <c r="B13" s="78">
        <f>B4+B5+B7</f>
        <v>1666912217</v>
      </c>
      <c r="C13" s="78">
        <f>C4+C5+C7</f>
        <v>1884107121</v>
      </c>
    </row>
    <row r="14" spans="1:3" x14ac:dyDescent="0.2">
      <c r="A14" s="77" t="s">
        <v>113</v>
      </c>
      <c r="B14" s="78">
        <f>B3</f>
        <v>1332923972</v>
      </c>
      <c r="C14" s="78">
        <f>C3</f>
        <v>1518606527</v>
      </c>
    </row>
    <row r="16" spans="1:3" x14ac:dyDescent="0.2">
      <c r="A16" s="79" t="s">
        <v>114</v>
      </c>
      <c r="B16" s="80">
        <f>B2</f>
        <v>1875277707</v>
      </c>
      <c r="C16" s="80">
        <f>C2</f>
        <v>2056499838</v>
      </c>
    </row>
    <row r="17" spans="1:3" x14ac:dyDescent="0.2">
      <c r="A17" s="79" t="s">
        <v>115</v>
      </c>
      <c r="B17" s="80">
        <f>B2-B3</f>
        <v>542353735</v>
      </c>
      <c r="C17" s="80">
        <f>C2-C3</f>
        <v>537893311</v>
      </c>
    </row>
    <row r="18" spans="1:3" x14ac:dyDescent="0.2">
      <c r="A18" s="79" t="s">
        <v>116</v>
      </c>
      <c r="B18" s="81">
        <f>B13-B14</f>
        <v>333988245</v>
      </c>
      <c r="C18" s="81">
        <f>C13-C14</f>
        <v>365500594</v>
      </c>
    </row>
    <row r="19" spans="1:3" x14ac:dyDescent="0.2">
      <c r="A19" s="79" t="s">
        <v>117</v>
      </c>
      <c r="B19" s="82">
        <f>B7/B9</f>
        <v>92.552372890835528</v>
      </c>
      <c r="C19" s="82">
        <f>C7/C9</f>
        <v>91.362507995455786</v>
      </c>
    </row>
    <row r="20" spans="1:3" x14ac:dyDescent="0.2">
      <c r="A20" s="79" t="s">
        <v>118</v>
      </c>
      <c r="B20" s="82">
        <f>B5/B11</f>
        <v>20.894097418101762</v>
      </c>
      <c r="C20" s="82">
        <f>C5/C11</f>
        <v>26.938443684075601</v>
      </c>
    </row>
    <row r="21" spans="1:3" x14ac:dyDescent="0.2">
      <c r="A21" s="79" t="s">
        <v>119</v>
      </c>
      <c r="B21" s="82">
        <f>B6/B12</f>
        <v>56.390785601801596</v>
      </c>
      <c r="C21" s="82">
        <f>C6/C12</f>
        <v>56.965819581549816</v>
      </c>
    </row>
    <row r="22" spans="1:3" x14ac:dyDescent="0.2">
      <c r="A22" s="79" t="s">
        <v>120</v>
      </c>
      <c r="B22" s="82">
        <f>B19+B20</f>
        <v>113.44647030893729</v>
      </c>
      <c r="C22" s="82">
        <f>C19+C20</f>
        <v>118.30095167953138</v>
      </c>
    </row>
    <row r="23" spans="1:3" x14ac:dyDescent="0.2">
      <c r="A23" s="79" t="s">
        <v>121</v>
      </c>
      <c r="B23" s="82">
        <f>B22-B21</f>
        <v>57.055684707135697</v>
      </c>
      <c r="C23" s="82">
        <f>C22-C21</f>
        <v>61.335132097981564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CBE8-C3C7-46E9-966D-CBDB6B540527}">
  <dimension ref="A1:C23"/>
  <sheetViews>
    <sheetView rightToLeft="1" workbookViewId="0">
      <selection activeCell="A24" sqref="A24"/>
    </sheetView>
  </sheetViews>
  <sheetFormatPr defaultColWidth="5.3203125" defaultRowHeight="15" customHeight="1" x14ac:dyDescent="0.2"/>
  <cols>
    <col min="1" max="1" width="18.38671875" style="77" bestFit="1" customWidth="1"/>
    <col min="2" max="3" width="11.44921875" style="77" bestFit="1" customWidth="1"/>
    <col min="4" max="4" width="5.3203125" style="77" customWidth="1"/>
    <col min="5" max="16384" width="5.3203125" style="77"/>
  </cols>
  <sheetData>
    <row r="1" spans="1:3" ht="15" customHeight="1" x14ac:dyDescent="0.2">
      <c r="A1" s="77" t="s">
        <v>100</v>
      </c>
      <c r="B1" s="77">
        <v>2022</v>
      </c>
      <c r="C1" s="77">
        <v>2023</v>
      </c>
    </row>
    <row r="2" spans="1:3" x14ac:dyDescent="0.2">
      <c r="A2" s="77" t="s">
        <v>101</v>
      </c>
      <c r="B2" s="78">
        <v>63972851</v>
      </c>
      <c r="C2" s="78">
        <v>72973458</v>
      </c>
    </row>
    <row r="3" spans="1:3" x14ac:dyDescent="0.2">
      <c r="A3" s="77" t="s">
        <v>102</v>
      </c>
      <c r="B3" s="78">
        <v>306239844</v>
      </c>
      <c r="C3" s="78">
        <v>189814730</v>
      </c>
    </row>
    <row r="4" spans="1:3" x14ac:dyDescent="0.2">
      <c r="A4" s="77" t="s">
        <v>103</v>
      </c>
      <c r="B4" s="78">
        <v>4854876</v>
      </c>
      <c r="C4" s="78">
        <v>33727977</v>
      </c>
    </row>
    <row r="5" spans="1:3" x14ac:dyDescent="0.2">
      <c r="A5" s="77" t="s">
        <v>104</v>
      </c>
      <c r="B5" s="78">
        <v>9119312</v>
      </c>
      <c r="C5" s="78">
        <v>18362140</v>
      </c>
    </row>
    <row r="6" spans="1:3" x14ac:dyDescent="0.2">
      <c r="A6" s="77" t="s">
        <v>105</v>
      </c>
      <c r="B6" s="78">
        <v>2121673</v>
      </c>
      <c r="C6" s="78">
        <v>2619855</v>
      </c>
    </row>
    <row r="7" spans="1:3" x14ac:dyDescent="0.2">
      <c r="A7" s="77" t="s">
        <v>106</v>
      </c>
      <c r="B7" s="78">
        <v>3401663</v>
      </c>
      <c r="C7" s="78">
        <v>742921</v>
      </c>
    </row>
    <row r="8" spans="1:3" x14ac:dyDescent="0.2">
      <c r="A8" s="77" t="s">
        <v>107</v>
      </c>
      <c r="B8" s="78">
        <v>14622611</v>
      </c>
      <c r="C8" s="78">
        <v>18296457</v>
      </c>
    </row>
    <row r="9" spans="1:3" x14ac:dyDescent="0.2">
      <c r="A9" s="77" t="s">
        <v>108</v>
      </c>
      <c r="B9" s="78">
        <f>B8/365</f>
        <v>40061.94794520548</v>
      </c>
      <c r="C9" s="78">
        <f>C8/365</f>
        <v>50127.279452054798</v>
      </c>
    </row>
    <row r="10" spans="1:3" x14ac:dyDescent="0.2">
      <c r="A10" s="77" t="s">
        <v>109</v>
      </c>
      <c r="B10" s="78">
        <v>28110908</v>
      </c>
      <c r="C10" s="78">
        <v>51155553</v>
      </c>
    </row>
    <row r="11" spans="1:3" x14ac:dyDescent="0.2">
      <c r="A11" s="77" t="s">
        <v>110</v>
      </c>
      <c r="B11" s="78">
        <f>B10/365</f>
        <v>77016.18630136986</v>
      </c>
      <c r="C11" s="78">
        <f>C10/365</f>
        <v>140152.20000000001</v>
      </c>
    </row>
    <row r="12" spans="1:3" x14ac:dyDescent="0.2">
      <c r="A12" s="77" t="s">
        <v>111</v>
      </c>
      <c r="B12" s="78">
        <f>B10/365</f>
        <v>77016.18630136986</v>
      </c>
      <c r="C12" s="78">
        <f>C10/365</f>
        <v>140152.20000000001</v>
      </c>
    </row>
    <row r="13" spans="1:3" x14ac:dyDescent="0.2">
      <c r="A13" s="77" t="s">
        <v>112</v>
      </c>
      <c r="B13" s="78">
        <f>B4+B5+B7</f>
        <v>17375851</v>
      </c>
      <c r="C13" s="78">
        <f>C4+C5+C7</f>
        <v>52833038</v>
      </c>
    </row>
    <row r="14" spans="1:3" x14ac:dyDescent="0.2">
      <c r="A14" s="77" t="s">
        <v>113</v>
      </c>
      <c r="B14" s="78">
        <f>B3</f>
        <v>306239844</v>
      </c>
      <c r="C14" s="78">
        <f>C3</f>
        <v>189814730</v>
      </c>
    </row>
    <row r="16" spans="1:3" x14ac:dyDescent="0.2">
      <c r="A16" s="79" t="s">
        <v>114</v>
      </c>
      <c r="B16" s="80">
        <f>B2</f>
        <v>63972851</v>
      </c>
      <c r="C16" s="80">
        <f>C2</f>
        <v>72973458</v>
      </c>
    </row>
    <row r="17" spans="1:3" x14ac:dyDescent="0.2">
      <c r="A17" s="79" t="s">
        <v>115</v>
      </c>
      <c r="B17" s="79">
        <f>B2-B3</f>
        <v>-242266993</v>
      </c>
      <c r="C17" s="79">
        <f>C2-C3</f>
        <v>-116841272</v>
      </c>
    </row>
    <row r="18" spans="1:3" x14ac:dyDescent="0.2">
      <c r="A18" s="79" t="s">
        <v>116</v>
      </c>
      <c r="B18" s="81">
        <f>B13-B14</f>
        <v>-288863993</v>
      </c>
      <c r="C18" s="81">
        <f>C13-C14</f>
        <v>-136981692</v>
      </c>
    </row>
    <row r="19" spans="1:3" x14ac:dyDescent="0.2">
      <c r="A19" s="79" t="s">
        <v>117</v>
      </c>
      <c r="B19" s="82">
        <f>B7/B9</f>
        <v>84.910074883343341</v>
      </c>
      <c r="C19" s="82">
        <f>C7/C9</f>
        <v>14.820692607317362</v>
      </c>
    </row>
    <row r="20" spans="1:3" x14ac:dyDescent="0.2">
      <c r="A20" s="79" t="s">
        <v>118</v>
      </c>
      <c r="B20" s="82">
        <f>B5/B11</f>
        <v>118.40773268511995</v>
      </c>
      <c r="C20" s="82">
        <f>C5/C11</f>
        <v>131.01571006377353</v>
      </c>
    </row>
    <row r="21" spans="1:3" x14ac:dyDescent="0.2">
      <c r="A21" s="79" t="s">
        <v>119</v>
      </c>
      <c r="B21" s="82">
        <f>B6/B12</f>
        <v>27.548403808229889</v>
      </c>
      <c r="C21" s="82">
        <f>C6/C12</f>
        <v>18.692928116718821</v>
      </c>
    </row>
    <row r="22" spans="1:3" x14ac:dyDescent="0.2">
      <c r="A22" s="79" t="s">
        <v>120</v>
      </c>
      <c r="B22" s="82">
        <f>B19+B20</f>
        <v>203.31780756846331</v>
      </c>
      <c r="C22" s="82">
        <f>C19+C20</f>
        <v>145.83640267109089</v>
      </c>
    </row>
    <row r="23" spans="1:3" x14ac:dyDescent="0.2">
      <c r="A23" s="79" t="s">
        <v>121</v>
      </c>
      <c r="B23" s="82">
        <f>B22-B21</f>
        <v>175.76940376023342</v>
      </c>
      <c r="C23" s="82">
        <f>C22-C21</f>
        <v>127.14347455437208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02a50b-f1c9-4d6c-8027-4e76e4c9b2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FBAC4762C5340BF1F253224065ADD" ma:contentTypeVersion="6" ma:contentTypeDescription="Create a new document." ma:contentTypeScope="" ma:versionID="43f7253af8959fa43d117774ba0ff8a3">
  <xsd:schema xmlns:xsd="http://www.w3.org/2001/XMLSchema" xmlns:xs="http://www.w3.org/2001/XMLSchema" xmlns:p="http://schemas.microsoft.com/office/2006/metadata/properties" xmlns:ns3="8102a50b-f1c9-4d6c-8027-4e76e4c9b216" targetNamespace="http://schemas.microsoft.com/office/2006/metadata/properties" ma:root="true" ma:fieldsID="3a9e70a9d9c3d2d7f1b7efa8d4f2e584" ns3:_="">
    <xsd:import namespace="8102a50b-f1c9-4d6c-8027-4e76e4c9b2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2a50b-f1c9-4d6c-8027-4e76e4c9b2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000E0-E617-4FC4-B61F-51EF1FE174A6}">
  <ds:schemaRefs>
    <ds:schemaRef ds:uri="http://schemas.microsoft.com/office/2006/metadata/properties"/>
    <ds:schemaRef ds:uri="http://www.w3.org/2000/xmlns/"/>
    <ds:schemaRef ds:uri="8102a50b-f1c9-4d6c-8027-4e76e4c9b216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31385858-F045-484D-8A18-9918A25EFA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89A8F-A0CE-4076-9C4C-492AE1C39D1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102a50b-f1c9-4d6c-8027-4e76e4c9b216"/>
  </ds:schemaRefs>
</ds:datastoreItem>
</file>

<file path=docMetadata/LabelInfo.xml><?xml version="1.0" encoding="utf-8"?>
<clbl:labelList xmlns:clbl="http://schemas.microsoft.com/office/2020/mipLabelMetadata">
  <clbl:label id="{13a8d02d-59f3-416a-8231-b3080e639cad}" enabled="0" method="" siteId="{13a8d02d-59f3-416a-8231-b3080e639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خردة التعادل</vt:lpstr>
      <vt:lpstr>Scenario Summary</vt:lpstr>
      <vt:lpstr>E(NPV)</vt:lpstr>
      <vt:lpstr>تقويم المنشأة(بن داود القابضة)</vt:lpstr>
      <vt:lpstr>تقويم المنشأة(أنعام القابضة)</vt:lpstr>
      <vt:lpstr>رأس المال العامل(بن داود)</vt:lpstr>
      <vt:lpstr>رأس المال العامل(انعام القابضة)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Professor Nabil S. ElArabi</dc:creator>
  <cp:keywords/>
  <dc:description/>
  <cp:lastModifiedBy>MAZEN MOHAMMED MUSTAFA SAMMAN</cp:lastModifiedBy>
  <cp:lastPrinted>2025-02-15T12:39:47Z</cp:lastPrinted>
  <dcterms:created xsi:type="dcterms:W3CDTF">2016-11-17T15:20:36Z</dcterms:created>
  <dcterms:modified xsi:type="dcterms:W3CDTF">2025-03-06T14:34:03Z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0x0101002A9FBAC4762C5340BF1F253224065ADD</vt:lpwstr>
  </property>
</Properties>
</file>